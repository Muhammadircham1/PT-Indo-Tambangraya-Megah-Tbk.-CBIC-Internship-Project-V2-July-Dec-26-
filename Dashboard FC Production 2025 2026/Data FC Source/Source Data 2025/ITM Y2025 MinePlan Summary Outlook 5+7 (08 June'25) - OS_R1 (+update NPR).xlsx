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Yasmine\Outlook\2025\06. June\"/>
    </mc:Choice>
  </mc:AlternateContent>
  <xr:revisionPtr revIDLastSave="0" documentId="8_{AE38194B-2DDE-45B2-B149-D9B658D46F63}" xr6:coauthVersionLast="47" xr6:coauthVersionMax="47" xr10:uidLastSave="{00000000-0000-0000-0000-000000000000}"/>
  <bookViews>
    <workbookView xWindow="-110" yWindow="-110" windowWidth="19420" windowHeight="11620" tabRatio="370" firstSheet="1" activeTab="1" xr2:uid="{00000000-000D-0000-FFFF-FFFF00000000}"/>
  </bookViews>
  <sheets>
    <sheet name="Budget 2025" sheetId="3" r:id="rId1"/>
    <sheet name="Outlook 5+7" sheetId="2" r:id="rId2"/>
    <sheet name="Outlook Quarterly 5+7" sheetId="5" r:id="rId3"/>
    <sheet name="BudgVSact. June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 localSheetId="2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2" l="1"/>
  <c r="E183" i="5" l="1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8" i="5"/>
  <c r="D48" i="5"/>
  <c r="C48" i="5"/>
  <c r="B48" i="5"/>
  <c r="E42" i="5"/>
  <c r="D42" i="5"/>
  <c r="C42" i="5"/>
  <c r="B42" i="5"/>
  <c r="E36" i="5"/>
  <c r="D36" i="5"/>
  <c r="C36" i="5"/>
  <c r="B36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E24" i="5"/>
  <c r="D24" i="5"/>
  <c r="C24" i="5"/>
  <c r="B24" i="5"/>
  <c r="C25" i="5"/>
  <c r="B25" i="5"/>
  <c r="E18" i="5"/>
  <c r="D18" i="5"/>
  <c r="C18" i="5"/>
  <c r="B18" i="5"/>
  <c r="N16" i="2"/>
  <c r="E23" i="5"/>
  <c r="D23" i="5"/>
  <c r="E22" i="5"/>
  <c r="D22" i="5"/>
  <c r="E21" i="5"/>
  <c r="D21" i="5"/>
  <c r="E20" i="5"/>
  <c r="D20" i="5"/>
  <c r="E19" i="5"/>
  <c r="D19" i="5"/>
  <c r="C23" i="5"/>
  <c r="C22" i="5"/>
  <c r="C21" i="5"/>
  <c r="C20" i="5"/>
  <c r="C19" i="5"/>
  <c r="B23" i="5"/>
  <c r="B22" i="5"/>
  <c r="B21" i="5"/>
  <c r="B20" i="5"/>
  <c r="B19" i="5"/>
  <c r="F48" i="5" l="1"/>
  <c r="F42" i="5"/>
  <c r="E178" i="5" l="1"/>
  <c r="D178" i="5"/>
  <c r="C178" i="5"/>
  <c r="B178" i="5"/>
  <c r="F182" i="5" s="1"/>
  <c r="E175" i="5"/>
  <c r="E174" i="5" s="1"/>
  <c r="D175" i="5"/>
  <c r="D174" i="5" s="1"/>
  <c r="C175" i="5"/>
  <c r="C174" i="5" s="1"/>
  <c r="B175" i="5"/>
  <c r="B174" i="5" s="1"/>
  <c r="E173" i="5"/>
  <c r="E172" i="5" s="1"/>
  <c r="D173" i="5"/>
  <c r="D172" i="5" s="1"/>
  <c r="C173" i="5"/>
  <c r="C172" i="5" s="1"/>
  <c r="B173" i="5"/>
  <c r="B172" i="5" s="1"/>
  <c r="E164" i="5"/>
  <c r="D164" i="5"/>
  <c r="C164" i="5"/>
  <c r="B164" i="5"/>
  <c r="F164" i="5" s="1"/>
  <c r="E163" i="5"/>
  <c r="D163" i="5"/>
  <c r="C163" i="5"/>
  <c r="B163" i="5"/>
  <c r="F168" i="5" s="1"/>
  <c r="E160" i="5"/>
  <c r="D160" i="5"/>
  <c r="C160" i="5"/>
  <c r="B160" i="5"/>
  <c r="F160" i="5" s="1"/>
  <c r="E159" i="5"/>
  <c r="E158" i="5" s="1"/>
  <c r="D159" i="5"/>
  <c r="D158" i="5" s="1"/>
  <c r="C159" i="5"/>
  <c r="C158" i="5" s="1"/>
  <c r="B159" i="5"/>
  <c r="B158" i="5" s="1"/>
  <c r="E157" i="5"/>
  <c r="E156" i="5" s="1"/>
  <c r="D157" i="5"/>
  <c r="D156" i="5" s="1"/>
  <c r="C157" i="5"/>
  <c r="C156" i="5" s="1"/>
  <c r="B157" i="5"/>
  <c r="B156" i="5" s="1"/>
  <c r="E148" i="5"/>
  <c r="D148" i="5"/>
  <c r="C148" i="5"/>
  <c r="B148" i="5"/>
  <c r="F151" i="5" s="1"/>
  <c r="E144" i="5"/>
  <c r="D144" i="5"/>
  <c r="C144" i="5"/>
  <c r="B144" i="5"/>
  <c r="E143" i="5"/>
  <c r="D143" i="5"/>
  <c r="C143" i="5"/>
  <c r="B143" i="5"/>
  <c r="E141" i="5"/>
  <c r="E140" i="5" s="1"/>
  <c r="D141" i="5"/>
  <c r="D140" i="5" s="1"/>
  <c r="C141" i="5"/>
  <c r="C140" i="5" s="1"/>
  <c r="B141" i="5"/>
  <c r="F141" i="5" s="1"/>
  <c r="E132" i="5"/>
  <c r="D132" i="5"/>
  <c r="C132" i="5"/>
  <c r="B132" i="5"/>
  <c r="F132" i="5" s="1"/>
  <c r="E131" i="5"/>
  <c r="D131" i="5"/>
  <c r="C131" i="5"/>
  <c r="B131" i="5"/>
  <c r="E128" i="5"/>
  <c r="E127" i="5" s="1"/>
  <c r="D128" i="5"/>
  <c r="D127" i="5" s="1"/>
  <c r="C128" i="5"/>
  <c r="C127" i="5" s="1"/>
  <c r="B128" i="5"/>
  <c r="B127" i="5" s="1"/>
  <c r="E126" i="5"/>
  <c r="E125" i="5" s="1"/>
  <c r="D126" i="5"/>
  <c r="D125" i="5" s="1"/>
  <c r="C126" i="5"/>
  <c r="C125" i="5" s="1"/>
  <c r="B126" i="5"/>
  <c r="F126" i="5" s="1"/>
  <c r="F125" i="5" s="1"/>
  <c r="E117" i="5"/>
  <c r="D117" i="5"/>
  <c r="C117" i="5"/>
  <c r="B117" i="5"/>
  <c r="F118" i="5" s="1"/>
  <c r="E111" i="5"/>
  <c r="D111" i="5"/>
  <c r="C111" i="5"/>
  <c r="B111" i="5"/>
  <c r="F115" i="5" s="1"/>
  <c r="E107" i="5"/>
  <c r="D107" i="5"/>
  <c r="C107" i="5"/>
  <c r="B107" i="5"/>
  <c r="F107" i="5" s="1"/>
  <c r="E106" i="5"/>
  <c r="E104" i="5" s="1"/>
  <c r="D106" i="5"/>
  <c r="C106" i="5"/>
  <c r="B106" i="5"/>
  <c r="F106" i="5" s="1"/>
  <c r="E105" i="5"/>
  <c r="D105" i="5"/>
  <c r="C105" i="5"/>
  <c r="B105" i="5"/>
  <c r="E103" i="5"/>
  <c r="D103" i="5"/>
  <c r="C103" i="5"/>
  <c r="B103" i="5"/>
  <c r="F103" i="5" s="1"/>
  <c r="E102" i="5"/>
  <c r="D102" i="5"/>
  <c r="C102" i="5"/>
  <c r="B102" i="5"/>
  <c r="F102" i="5" s="1"/>
  <c r="E101" i="5"/>
  <c r="E100" i="5" s="1"/>
  <c r="D101" i="5"/>
  <c r="D100" i="5" s="1"/>
  <c r="C101" i="5"/>
  <c r="C100" i="5" s="1"/>
  <c r="B101" i="5"/>
  <c r="F101" i="5" s="1"/>
  <c r="E80" i="5"/>
  <c r="D80" i="5"/>
  <c r="C80" i="5"/>
  <c r="B80" i="5"/>
  <c r="F80" i="5" s="1"/>
  <c r="E74" i="5"/>
  <c r="D74" i="5"/>
  <c r="C74" i="5"/>
  <c r="B74" i="5"/>
  <c r="F77" i="5" s="1"/>
  <c r="E69" i="5"/>
  <c r="D69" i="5"/>
  <c r="C69" i="5"/>
  <c r="B69" i="5"/>
  <c r="F69" i="5" s="1"/>
  <c r="E68" i="5"/>
  <c r="D68" i="5"/>
  <c r="C68" i="5"/>
  <c r="B68" i="5"/>
  <c r="E67" i="5"/>
  <c r="D67" i="5"/>
  <c r="C67" i="5"/>
  <c r="B67" i="5"/>
  <c r="F67" i="5" s="1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59" i="5"/>
  <c r="D59" i="5"/>
  <c r="C59" i="5"/>
  <c r="B59" i="5"/>
  <c r="E58" i="5"/>
  <c r="D58" i="5"/>
  <c r="C58" i="5"/>
  <c r="B58" i="5"/>
  <c r="E57" i="5"/>
  <c r="D57" i="5"/>
  <c r="C57" i="5"/>
  <c r="B57" i="5"/>
  <c r="F27" i="5"/>
  <c r="E16" i="5"/>
  <c r="D16" i="5"/>
  <c r="C16" i="5"/>
  <c r="B16" i="5"/>
  <c r="E15" i="5"/>
  <c r="D15" i="5"/>
  <c r="C15" i="5"/>
  <c r="B15" i="5"/>
  <c r="E14" i="5"/>
  <c r="E13" i="5" s="1"/>
  <c r="D14" i="5"/>
  <c r="D13" i="5" s="1"/>
  <c r="C14" i="5"/>
  <c r="B14" i="5"/>
  <c r="F14" i="5" s="1"/>
  <c r="E11" i="5"/>
  <c r="D11" i="5"/>
  <c r="C11" i="5"/>
  <c r="F11" i="5" s="1"/>
  <c r="B11" i="5"/>
  <c r="E10" i="5"/>
  <c r="D10" i="5"/>
  <c r="C10" i="5"/>
  <c r="B10" i="5"/>
  <c r="E9" i="5"/>
  <c r="D9" i="5"/>
  <c r="C9" i="5"/>
  <c r="B9" i="5"/>
  <c r="E7" i="5"/>
  <c r="D7" i="5"/>
  <c r="C7" i="5"/>
  <c r="B7" i="5"/>
  <c r="F7" i="5" s="1"/>
  <c r="E6" i="5"/>
  <c r="D6" i="5"/>
  <c r="C6" i="5"/>
  <c r="B6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69" i="5"/>
  <c r="H168" i="5"/>
  <c r="H167" i="5"/>
  <c r="H166" i="5"/>
  <c r="H165" i="5"/>
  <c r="H164" i="5"/>
  <c r="H163" i="5"/>
  <c r="H162" i="5"/>
  <c r="H161" i="5"/>
  <c r="H159" i="5"/>
  <c r="H158" i="5"/>
  <c r="H157" i="5"/>
  <c r="H156" i="5"/>
  <c r="H153" i="5"/>
  <c r="H152" i="5"/>
  <c r="H151" i="5"/>
  <c r="H150" i="5"/>
  <c r="H149" i="5"/>
  <c r="H148" i="5"/>
  <c r="H147" i="5"/>
  <c r="H146" i="5"/>
  <c r="F145" i="5"/>
  <c r="H144" i="5"/>
  <c r="H143" i="5"/>
  <c r="H142" i="5"/>
  <c r="H141" i="5"/>
  <c r="H140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7" i="5"/>
  <c r="F97" i="5"/>
  <c r="H96" i="5"/>
  <c r="F96" i="5"/>
  <c r="H95" i="5"/>
  <c r="F95" i="5"/>
  <c r="H94" i="5"/>
  <c r="F94" i="5"/>
  <c r="H93" i="5"/>
  <c r="F93" i="5"/>
  <c r="H92" i="5"/>
  <c r="F92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E72" i="5"/>
  <c r="D72" i="5"/>
  <c r="C72" i="5"/>
  <c r="B72" i="5"/>
  <c r="H71" i="5"/>
  <c r="E71" i="5"/>
  <c r="D71" i="5"/>
  <c r="D70" i="5" s="1"/>
  <c r="C71" i="5"/>
  <c r="B71" i="5"/>
  <c r="H70" i="5"/>
  <c r="H69" i="5"/>
  <c r="H68" i="5"/>
  <c r="H67" i="5"/>
  <c r="H66" i="5"/>
  <c r="H65" i="5"/>
  <c r="H63" i="5"/>
  <c r="H62" i="5"/>
  <c r="H61" i="5"/>
  <c r="H60" i="5"/>
  <c r="H59" i="5"/>
  <c r="H58" i="5"/>
  <c r="H57" i="5"/>
  <c r="H56" i="5"/>
  <c r="H53" i="5"/>
  <c r="F53" i="5"/>
  <c r="H52" i="5"/>
  <c r="F52" i="5"/>
  <c r="H51" i="5"/>
  <c r="F51" i="5"/>
  <c r="H50" i="5"/>
  <c r="F50" i="5"/>
  <c r="H49" i="5"/>
  <c r="F49" i="5"/>
  <c r="H48" i="5"/>
  <c r="H47" i="5"/>
  <c r="F47" i="5"/>
  <c r="H46" i="5"/>
  <c r="F46" i="5"/>
  <c r="H45" i="5"/>
  <c r="F45" i="5"/>
  <c r="H44" i="5"/>
  <c r="F44" i="5"/>
  <c r="H43" i="5"/>
  <c r="F43" i="5"/>
  <c r="H42" i="5"/>
  <c r="H41" i="5"/>
  <c r="F41" i="5"/>
  <c r="H40" i="5"/>
  <c r="F40" i="5"/>
  <c r="H39" i="5"/>
  <c r="H38" i="5"/>
  <c r="H37" i="5"/>
  <c r="H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H28" i="5"/>
  <c r="F28" i="5"/>
  <c r="H27" i="5"/>
  <c r="H26" i="5"/>
  <c r="F26" i="5"/>
  <c r="H25" i="5"/>
  <c r="F25" i="5"/>
  <c r="H24" i="5"/>
  <c r="F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F81" i="5" l="1"/>
  <c r="F84" i="5"/>
  <c r="F83" i="5"/>
  <c r="F85" i="5"/>
  <c r="F82" i="5"/>
  <c r="F178" i="5"/>
  <c r="F181" i="5"/>
  <c r="D162" i="5"/>
  <c r="E162" i="5"/>
  <c r="F163" i="5"/>
  <c r="F169" i="5"/>
  <c r="F159" i="5"/>
  <c r="F158" i="5" s="1"/>
  <c r="F135" i="5"/>
  <c r="F136" i="5"/>
  <c r="F134" i="5"/>
  <c r="F137" i="5"/>
  <c r="F122" i="5"/>
  <c r="F121" i="5"/>
  <c r="F120" i="5"/>
  <c r="C110" i="5"/>
  <c r="D110" i="5"/>
  <c r="F117" i="5"/>
  <c r="E110" i="5"/>
  <c r="E109" i="5" s="1"/>
  <c r="F111" i="5"/>
  <c r="F116" i="5"/>
  <c r="B110" i="5"/>
  <c r="F74" i="5"/>
  <c r="F75" i="5"/>
  <c r="E66" i="5"/>
  <c r="D66" i="5"/>
  <c r="B66" i="5"/>
  <c r="C66" i="5"/>
  <c r="B8" i="5"/>
  <c r="E5" i="5"/>
  <c r="D5" i="5"/>
  <c r="C5" i="5"/>
  <c r="C109" i="5"/>
  <c r="D109" i="5"/>
  <c r="F128" i="5"/>
  <c r="F143" i="5"/>
  <c r="F142" i="5" s="1"/>
  <c r="I142" i="5" s="1"/>
  <c r="F173" i="5"/>
  <c r="F15" i="5"/>
  <c r="F131" i="5"/>
  <c r="F144" i="5"/>
  <c r="F175" i="5"/>
  <c r="F174" i="5" s="1"/>
  <c r="E8" i="5"/>
  <c r="E12" i="5" s="1"/>
  <c r="D161" i="5"/>
  <c r="C8" i="5"/>
  <c r="C12" i="5" s="1"/>
  <c r="F76" i="5"/>
  <c r="F157" i="5"/>
  <c r="F156" i="5" s="1"/>
  <c r="F161" i="5" s="1"/>
  <c r="F10" i="5"/>
  <c r="F16" i="5"/>
  <c r="E142" i="5"/>
  <c r="E146" i="5" s="1"/>
  <c r="C13" i="5"/>
  <c r="B104" i="5"/>
  <c r="D8" i="5"/>
  <c r="D12" i="5" s="1"/>
  <c r="C142" i="5"/>
  <c r="C146" i="5" s="1"/>
  <c r="F112" i="5"/>
  <c r="D142" i="5"/>
  <c r="D146" i="5" s="1"/>
  <c r="F78" i="5"/>
  <c r="B125" i="5"/>
  <c r="B129" i="5" s="1"/>
  <c r="C104" i="5"/>
  <c r="C108" i="5" s="1"/>
  <c r="F150" i="5"/>
  <c r="B100" i="5"/>
  <c r="B109" i="5" s="1"/>
  <c r="F113" i="5"/>
  <c r="F79" i="5"/>
  <c r="D104" i="5"/>
  <c r="D108" i="5" s="1"/>
  <c r="E161" i="5"/>
  <c r="B5" i="5"/>
  <c r="F5" i="5" s="1"/>
  <c r="F39" i="5"/>
  <c r="F37" i="5"/>
  <c r="F38" i="5"/>
  <c r="F36" i="5"/>
  <c r="F19" i="5"/>
  <c r="F183" i="5"/>
  <c r="F180" i="5"/>
  <c r="F179" i="5"/>
  <c r="C176" i="5"/>
  <c r="E176" i="5"/>
  <c r="B176" i="5"/>
  <c r="F166" i="5"/>
  <c r="F167" i="5"/>
  <c r="F165" i="5"/>
  <c r="C161" i="5"/>
  <c r="B161" i="5"/>
  <c r="F153" i="5"/>
  <c r="F148" i="5"/>
  <c r="F152" i="5"/>
  <c r="C147" i="5"/>
  <c r="F149" i="5"/>
  <c r="B142" i="5"/>
  <c r="B140" i="5"/>
  <c r="F140" i="5" s="1"/>
  <c r="F133" i="5"/>
  <c r="F119" i="5"/>
  <c r="F114" i="5"/>
  <c r="F110" i="5"/>
  <c r="F105" i="5"/>
  <c r="F104" i="5" s="1"/>
  <c r="I104" i="5" s="1"/>
  <c r="E108" i="5"/>
  <c r="F68" i="5"/>
  <c r="F66" i="5" s="1"/>
  <c r="F29" i="5"/>
  <c r="B13" i="5"/>
  <c r="F13" i="5" s="1"/>
  <c r="D17" i="5"/>
  <c r="F9" i="5"/>
  <c r="C17" i="5"/>
  <c r="E17" i="5"/>
  <c r="F6" i="5"/>
  <c r="B177" i="5"/>
  <c r="F72" i="5"/>
  <c r="F127" i="5"/>
  <c r="I127" i="5" s="1"/>
  <c r="I158" i="5"/>
  <c r="B70" i="5"/>
  <c r="F100" i="5"/>
  <c r="E129" i="5"/>
  <c r="E70" i="5"/>
  <c r="C129" i="5"/>
  <c r="D129" i="5"/>
  <c r="C177" i="5"/>
  <c r="F71" i="5"/>
  <c r="D176" i="5"/>
  <c r="D177" i="5"/>
  <c r="D147" i="5"/>
  <c r="F130" i="5"/>
  <c r="I125" i="5"/>
  <c r="C70" i="5"/>
  <c r="F70" i="5" s="1"/>
  <c r="C130" i="5"/>
  <c r="D130" i="5"/>
  <c r="E147" i="5"/>
  <c r="F172" i="5"/>
  <c r="E130" i="5"/>
  <c r="E177" i="5"/>
  <c r="B162" i="5"/>
  <c r="C162" i="5"/>
  <c r="F129" i="5" l="1"/>
  <c r="B12" i="5"/>
  <c r="F162" i="5"/>
  <c r="I156" i="5"/>
  <c r="B108" i="5"/>
  <c r="F8" i="5"/>
  <c r="I8" i="5" s="1"/>
  <c r="F109" i="5"/>
  <c r="F147" i="5"/>
  <c r="I140" i="5"/>
  <c r="B130" i="5"/>
  <c r="B17" i="5"/>
  <c r="F20" i="5"/>
  <c r="F22" i="5"/>
  <c r="F21" i="5"/>
  <c r="F18" i="5"/>
  <c r="F23" i="5"/>
  <c r="B147" i="5"/>
  <c r="B146" i="5"/>
  <c r="F146" i="5"/>
  <c r="F108" i="5"/>
  <c r="I100" i="5"/>
  <c r="I5" i="5"/>
  <c r="F12" i="5"/>
  <c r="F17" i="5"/>
  <c r="F176" i="5"/>
  <c r="F177" i="5"/>
  <c r="N160" i="2" l="1"/>
  <c r="M158" i="2"/>
  <c r="L158" i="2"/>
  <c r="K158" i="2"/>
  <c r="J158" i="2"/>
  <c r="I158" i="2"/>
  <c r="H158" i="2"/>
  <c r="G158" i="2"/>
  <c r="F158" i="2"/>
  <c r="E158" i="2"/>
  <c r="D158" i="2"/>
  <c r="C158" i="2"/>
  <c r="B158" i="2"/>
  <c r="N138" i="3" l="1"/>
  <c r="N179" i="2"/>
  <c r="C125" i="2" l="1"/>
  <c r="C130" i="2" s="1"/>
  <c r="C127" i="2"/>
  <c r="N133" i="2"/>
  <c r="C129" i="2" l="1"/>
  <c r="P183" i="2"/>
  <c r="P182" i="2"/>
  <c r="P181" i="2"/>
  <c r="P180" i="2"/>
  <c r="P179" i="2"/>
  <c r="P178" i="2"/>
  <c r="P177" i="2"/>
  <c r="P176" i="2"/>
  <c r="P175" i="2"/>
  <c r="P174" i="2"/>
  <c r="P173" i="2"/>
  <c r="P172" i="2"/>
  <c r="N183" i="2"/>
  <c r="N182" i="2"/>
  <c r="N181" i="2"/>
  <c r="N180" i="2"/>
  <c r="N178" i="2" l="1"/>
  <c r="N175" i="2"/>
  <c r="N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7" i="2" l="1"/>
  <c r="M176" i="2"/>
  <c r="F176" i="2"/>
  <c r="F177" i="2"/>
  <c r="H176" i="2"/>
  <c r="H177" i="2"/>
  <c r="I176" i="2"/>
  <c r="I177" i="2"/>
  <c r="J177" i="2"/>
  <c r="J176" i="2"/>
  <c r="D177" i="2"/>
  <c r="D176" i="2"/>
  <c r="G177" i="2"/>
  <c r="G176" i="2"/>
  <c r="K177" i="2"/>
  <c r="K176" i="2"/>
  <c r="E176" i="2"/>
  <c r="E177" i="2"/>
  <c r="L176" i="2"/>
  <c r="L177" i="2"/>
  <c r="C176" i="2"/>
  <c r="C177" i="2"/>
  <c r="N172" i="2"/>
  <c r="N176" i="2" s="1"/>
  <c r="B176" i="2"/>
  <c r="B177" i="2"/>
  <c r="N177" i="2" l="1"/>
  <c r="P165" i="2"/>
  <c r="P153" i="2"/>
  <c r="P152" i="2"/>
  <c r="P151" i="2"/>
  <c r="P150" i="2"/>
  <c r="P169" i="2"/>
  <c r="P168" i="2"/>
  <c r="P167" i="2"/>
  <c r="P166" i="2"/>
  <c r="P164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127" i="3"/>
  <c r="N126" i="3"/>
  <c r="N125" i="3"/>
  <c r="N124" i="3"/>
  <c r="N123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N119" i="3"/>
  <c r="N120" i="3"/>
  <c r="N121" i="3"/>
  <c r="N117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6" i="2" l="1"/>
  <c r="N167" i="2"/>
  <c r="N168" i="2"/>
  <c r="N165" i="2"/>
  <c r="N169" i="2"/>
  <c r="N163" i="2" l="1"/>
  <c r="N164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B127" i="2" l="1"/>
  <c r="D127" i="2"/>
  <c r="E127" i="2"/>
  <c r="F127" i="2"/>
  <c r="G127" i="2"/>
  <c r="H127" i="2"/>
  <c r="I127" i="2"/>
  <c r="J127" i="2"/>
  <c r="K127" i="2"/>
  <c r="L127" i="2"/>
  <c r="M127" i="2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134" i="2" l="1"/>
  <c r="N135" i="2"/>
  <c r="N136" i="2"/>
  <c r="N137" i="2"/>
  <c r="N50" i="2" l="1"/>
  <c r="N51" i="2"/>
  <c r="N52" i="2"/>
  <c r="N53" i="2"/>
  <c r="N49" i="2"/>
  <c r="N44" i="2"/>
  <c r="N45" i="2"/>
  <c r="N46" i="2"/>
  <c r="N47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22" i="2"/>
  <c r="P121" i="2"/>
  <c r="P120" i="2"/>
  <c r="P119" i="2"/>
  <c r="P118" i="2"/>
  <c r="P116" i="2"/>
  <c r="P115" i="2"/>
  <c r="P114" i="2"/>
  <c r="P113" i="2"/>
  <c r="P112" i="2"/>
  <c r="N36" i="2"/>
  <c r="N42" i="2"/>
  <c r="N48" i="2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s="1"/>
  <c r="C109" i="3"/>
  <c r="D109" i="3"/>
  <c r="E109" i="3"/>
  <c r="F109" i="3"/>
  <c r="G109" i="3"/>
  <c r="H109" i="3"/>
  <c r="I109" i="3"/>
  <c r="J109" i="3"/>
  <c r="K109" i="3"/>
  <c r="L109" i="3"/>
  <c r="M109" i="3"/>
  <c r="B109" i="3"/>
  <c r="E6" i="4" l="1"/>
  <c r="L6" i="4" s="1"/>
  <c r="N109" i="3"/>
  <c r="P104" i="2" s="1"/>
  <c r="N85" i="3"/>
  <c r="N79" i="3"/>
  <c r="P80" i="2" s="1"/>
  <c r="N73" i="3"/>
  <c r="P74" i="2" s="1"/>
  <c r="N36" i="3" l="1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M162" i="2" l="1"/>
  <c r="M161" i="2"/>
  <c r="L162" i="2"/>
  <c r="L161" i="2"/>
  <c r="K162" i="2"/>
  <c r="K161" i="2"/>
  <c r="J162" i="2"/>
  <c r="J161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3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P111" i="2" s="1"/>
  <c r="M115" i="3"/>
  <c r="L115" i="3"/>
  <c r="K115" i="3"/>
  <c r="J115" i="3"/>
  <c r="I115" i="3"/>
  <c r="H115" i="3"/>
  <c r="G115" i="3"/>
  <c r="F115" i="3"/>
  <c r="E115" i="3"/>
  <c r="D115" i="3"/>
  <c r="C115" i="3"/>
  <c r="B115" i="3"/>
  <c r="N112" i="3"/>
  <c r="P107" i="2" s="1"/>
  <c r="N111" i="3"/>
  <c r="P106" i="2" s="1"/>
  <c r="N110" i="3"/>
  <c r="P105" i="2" s="1"/>
  <c r="N108" i="3"/>
  <c r="P103" i="2" s="1"/>
  <c r="N107" i="3"/>
  <c r="P102" i="2" s="1"/>
  <c r="N106" i="3"/>
  <c r="P101" i="2" s="1"/>
  <c r="M105" i="3"/>
  <c r="L105" i="3"/>
  <c r="K105" i="3"/>
  <c r="J105" i="3"/>
  <c r="I105" i="3"/>
  <c r="H105" i="3"/>
  <c r="G105" i="3"/>
  <c r="F105" i="3"/>
  <c r="E105" i="3"/>
  <c r="D105" i="3"/>
  <c r="C105" i="3"/>
  <c r="B105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C9" i="4" l="1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P100" i="2" s="1"/>
  <c r="G69" i="3"/>
  <c r="M113" i="3"/>
  <c r="L113" i="3"/>
  <c r="E113" i="3"/>
  <c r="F114" i="3"/>
  <c r="D69" i="3"/>
  <c r="M150" i="3"/>
  <c r="N130" i="3"/>
  <c r="L69" i="3"/>
  <c r="D113" i="3"/>
  <c r="C114" i="3"/>
  <c r="F150" i="3"/>
  <c r="H164" i="3"/>
  <c r="F65" i="3"/>
  <c r="F72" i="3" s="1"/>
  <c r="N115" i="3"/>
  <c r="P110" i="2" s="1"/>
  <c r="H113" i="3"/>
  <c r="J113" i="3"/>
  <c r="D164" i="3"/>
  <c r="C164" i="3"/>
  <c r="M12" i="3"/>
  <c r="K113" i="3"/>
  <c r="E164" i="3"/>
  <c r="G164" i="3"/>
  <c r="I113" i="3"/>
  <c r="M64" i="3"/>
  <c r="M114" i="3"/>
  <c r="G150" i="3"/>
  <c r="E64" i="3"/>
  <c r="K12" i="3"/>
  <c r="N56" i="3"/>
  <c r="H150" i="3"/>
  <c r="G113" i="3"/>
  <c r="I69" i="3"/>
  <c r="G114" i="3"/>
  <c r="I150" i="3"/>
  <c r="D65" i="3"/>
  <c r="H65" i="3"/>
  <c r="J69" i="3"/>
  <c r="B113" i="3"/>
  <c r="I114" i="3"/>
  <c r="K69" i="3"/>
  <c r="C113" i="3"/>
  <c r="K114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B114" i="3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J114" i="3"/>
  <c r="D150" i="3"/>
  <c r="L151" i="3"/>
  <c r="E165" i="3"/>
  <c r="K150" i="3"/>
  <c r="L12" i="3"/>
  <c r="L65" i="3"/>
  <c r="L72" i="3" s="1"/>
  <c r="E114" i="3"/>
  <c r="N5" i="3"/>
  <c r="P5" i="2" s="1"/>
  <c r="G165" i="3"/>
  <c r="I165" i="3"/>
  <c r="I12" i="3"/>
  <c r="I64" i="3"/>
  <c r="B12" i="3"/>
  <c r="J12" i="3"/>
  <c r="B64" i="3"/>
  <c r="J64" i="3"/>
  <c r="H114" i="3"/>
  <c r="G151" i="3"/>
  <c r="H165" i="3"/>
  <c r="D64" i="3"/>
  <c r="L64" i="3"/>
  <c r="I151" i="3"/>
  <c r="B165" i="3"/>
  <c r="J165" i="3"/>
  <c r="F64" i="3"/>
  <c r="D114" i="3"/>
  <c r="L114" i="3"/>
  <c r="C151" i="3"/>
  <c r="K151" i="3"/>
  <c r="D165" i="3"/>
  <c r="L165" i="3"/>
  <c r="G64" i="3"/>
  <c r="B65" i="3"/>
  <c r="F113" i="3"/>
  <c r="H64" i="3"/>
  <c r="I9" i="4" l="1"/>
  <c r="N134" i="3"/>
  <c r="P129" i="2" s="1"/>
  <c r="P125" i="2"/>
  <c r="N165" i="3"/>
  <c r="P162" i="2" s="1"/>
  <c r="N150" i="3"/>
  <c r="P146" i="2" s="1"/>
  <c r="N164" i="3"/>
  <c r="P161" i="2" s="1"/>
  <c r="I7" i="4"/>
  <c r="K7" i="4"/>
  <c r="I8" i="4"/>
  <c r="K8" i="4"/>
  <c r="N151" i="3"/>
  <c r="P147" i="2" s="1"/>
  <c r="G5" i="4"/>
  <c r="G10" i="4" s="1"/>
  <c r="N114" i="3"/>
  <c r="P109" i="2" s="1"/>
  <c r="N113" i="3"/>
  <c r="P108" i="2" s="1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I10" i="4" l="1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N158" i="2" s="1"/>
  <c r="N157" i="2"/>
  <c r="I156" i="2"/>
  <c r="H156" i="2"/>
  <c r="G156" i="2"/>
  <c r="F156" i="2"/>
  <c r="E156" i="2"/>
  <c r="D156" i="2"/>
  <c r="C156" i="2"/>
  <c r="B156" i="2"/>
  <c r="B161" i="2" s="1"/>
  <c r="F9" i="4" l="1"/>
  <c r="L9" i="4" s="1"/>
  <c r="D9" i="4"/>
  <c r="E162" i="2"/>
  <c r="E161" i="2"/>
  <c r="F162" i="2"/>
  <c r="F161" i="2"/>
  <c r="G161" i="2"/>
  <c r="G162" i="2"/>
  <c r="H161" i="2"/>
  <c r="H162" i="2"/>
  <c r="I162" i="2"/>
  <c r="I161" i="2"/>
  <c r="B162" i="2"/>
  <c r="D162" i="2"/>
  <c r="D161" i="2"/>
  <c r="N156" i="2"/>
  <c r="C162" i="2"/>
  <c r="C161" i="2"/>
  <c r="Q158" i="2"/>
  <c r="N142" i="2"/>
  <c r="Q142" i="2" s="1"/>
  <c r="C146" i="2"/>
  <c r="N141" i="2"/>
  <c r="G147" i="2"/>
  <c r="E147" i="2"/>
  <c r="F10" i="4" l="1"/>
  <c r="F11" i="4" s="1"/>
  <c r="J9" i="4"/>
  <c r="N162" i="2"/>
  <c r="Q156" i="2"/>
  <c r="K9" i="4"/>
  <c r="N161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29" i="2"/>
  <c r="N130" i="2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  <c r="E60" i="5" l="1"/>
  <c r="E56" i="5"/>
  <c r="D60" i="5"/>
  <c r="D56" i="5"/>
  <c r="C60" i="5"/>
  <c r="F58" i="5"/>
  <c r="C56" i="5"/>
  <c r="F63" i="5"/>
  <c r="F61" i="5"/>
  <c r="F62" i="5"/>
  <c r="B60" i="5"/>
  <c r="F60" i="5" s="1"/>
  <c r="I60" i="5" s="1"/>
  <c r="F59" i="5"/>
  <c r="B56" i="5"/>
  <c r="F64" i="5"/>
  <c r="D65" i="5" l="1"/>
  <c r="B65" i="5"/>
  <c r="B73" i="5"/>
  <c r="E65" i="5"/>
  <c r="E73" i="5"/>
  <c r="C73" i="5"/>
  <c r="C65" i="5"/>
  <c r="F57" i="5"/>
  <c r="F56" i="5" s="1"/>
  <c r="D73" i="5"/>
  <c r="F65" i="5" l="1"/>
  <c r="F73" i="5"/>
  <c r="I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2CD201F9-0378-4356-BC1B-C05272806B9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E5C6D72D-224E-4ECB-A088-46D0836E698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A0CDE5AD-48AC-42B6-BDC2-B2117F57A4D7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5DEFCD6B-07EF-406C-B992-F15671D8E2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523FF6E1-6B06-45B6-9D4C-815DD3432BC4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<sst xmlns="http://schemas.openxmlformats.org/spreadsheetml/2006/main" count="819" uniqueCount="99">
  <si>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</si>
  <si>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</si>
  <si>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</si>
  <si>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</si>
  <si>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</si>
  <si>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</si>
  <si>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</si>
  <si>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</si>
  <si>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</si>
  <si>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</si>
  <si>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</si>
  <si>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</si>
  <si>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</si>
  <si>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</si>
  <si>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</si>
  <si>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</si>
  <si>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</si>
  <si>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</si>
  <si>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</si>
  <si>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</si>
  <si>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</si>
  <si>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</si>
  <si>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</si>
  <si>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</si>
  <si>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</si>
  <si>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</si>
  <si>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</si>
  <si>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</si>
  <si>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</si>
  <si>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</si>
  <si>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</si>
  <si>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</si>
  <si>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</si>
  <si>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</si>
  <si>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</si>
  <si>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</si>
  <si>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</si>
  <si>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</si>
  <si>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</si>
  <si>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</si>
  <si>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</si>
  <si>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</si>
  <si>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</si>
  <si>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</si>
  <si>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</si>
  <si>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</si>
  <si>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</si>
  <si>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</si>
  <si>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</si>
  <si>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</si>
  <si>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</si>
  <si>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</si>
  <si>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</si>
  <si>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</si>
  <si>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</si>
  <si>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</si>
  <si>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</si>
  <si>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</si>
  <si>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</si>
  <si>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</si>
  <si>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</si>
  <si>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</si>
  <si>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</si>
  <si>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</si>
  <si>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</si>
  <si>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</si>
  <si>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</si>
  <si>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</si>
  <si>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</si>
  <si>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</si>
  <si>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</si>
  <si>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</si>
  <si>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</si>
  <si>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</si>
  <si>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Other Contractor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</si>
  <si>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</si>
  <si>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</si>
  <si>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</si>
  <si>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</si>
  <si>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</si>
  <si>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</si>
  <si>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</si>
  <si>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</si>
  <si>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</si>
  <si>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</si>
  <si>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</si>
  <si>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</si>
  <si>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</si>
  <si>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</si>
  <si>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</si>
  <si>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</si>
  <si>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(4+8)</t>
  </si>
  <si>
    <t>ROM PIT I</t>
  </si>
  <si>
    <t>Q1</t>
  </si>
  <si>
    <t>Q2</t>
  </si>
  <si>
    <t>Q3</t>
  </si>
  <si>
    <t>Q4</t>
  </si>
  <si>
    <t>ITM outlook 2025 (5+7)</t>
  </si>
  <si>
    <t>CV(ADB)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</si>
</sst>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165" fontId="3" fillId="3" borderId="0" xfId="0" applyNumberFormat="1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Housekeeping"/>
      <sheetName val="Summ PRM"/>
      <sheetName val="OVERBURDEN"/>
      <sheetName val="SUBKON"/>
      <sheetName val="MAINTENANCE"/>
      <sheetName val="rate"/>
      <sheetName val="summary"/>
      <sheetName val="Run"/>
      <sheetName val="Data"/>
      <sheetName val="Konversi Jarak"/>
      <sheetName val="ACUM"/>
      <sheetName val="TJ"/>
      <sheetName val="LM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COAL ACT"/>
      <sheetName val="WASH PLANT"/>
      <sheetName val="DIRTY COAL ACT"/>
      <sheetName val="JAM2AN"/>
      <sheetName val="SUM"/>
      <sheetName val="HE"/>
      <sheetName val="DB Dept"/>
      <sheetName val="Database"/>
      <sheetName val="Run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Summary"/>
      <sheetName val="COST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 t="str">
            <v/>
          </cell>
        </row>
        <row r="153">
          <cell r="AN153" t="str">
            <v/>
          </cell>
        </row>
        <row r="154">
          <cell r="AN154" t="str">
            <v/>
          </cell>
        </row>
        <row r="155">
          <cell r="AN155" t="str">
            <v/>
          </cell>
        </row>
        <row r="156">
          <cell r="AN156" t="str">
            <v/>
          </cell>
        </row>
        <row r="157">
          <cell r="AN157" t="str">
            <v/>
          </cell>
        </row>
        <row r="158">
          <cell r="AN158" t="str">
            <v/>
          </cell>
        </row>
        <row r="159">
          <cell r="AN159" t="str">
            <v/>
          </cell>
        </row>
        <row r="160">
          <cell r="AN160" t="str">
            <v/>
          </cell>
        </row>
        <row r="161">
          <cell r="AN161" t="str">
            <v/>
          </cell>
        </row>
        <row r="162">
          <cell r="AN162" t="str">
            <v/>
          </cell>
        </row>
        <row r="163">
          <cell r="AN163" t="str">
            <v/>
          </cell>
        </row>
        <row r="164">
          <cell r="AN164" t="str">
            <v/>
          </cell>
        </row>
        <row r="165">
          <cell r="AN165" t="str">
            <v/>
          </cell>
        </row>
        <row r="166">
          <cell r="AN166" t="str">
            <v/>
          </cell>
        </row>
        <row r="167">
          <cell r="AN167" t="str">
            <v/>
          </cell>
        </row>
        <row r="168">
          <cell r="AN168" t="str">
            <v/>
          </cell>
        </row>
        <row r="169">
          <cell r="AN169" t="str">
            <v/>
          </cell>
        </row>
        <row r="170">
          <cell r="AN170" t="str">
            <v/>
          </cell>
        </row>
        <row r="171">
          <cell r="AN171" t="str">
            <v/>
          </cell>
        </row>
        <row r="172">
          <cell r="AN172" t="str">
            <v/>
          </cell>
        </row>
        <row r="173">
          <cell r="AN173" t="str">
            <v/>
          </cell>
        </row>
        <row r="174">
          <cell r="AN174" t="str">
            <v/>
          </cell>
        </row>
        <row r="175">
          <cell r="AN175" t="str">
            <v/>
          </cell>
        </row>
        <row r="176">
          <cell r="AN176" t="str">
            <v/>
          </cell>
        </row>
        <row r="177">
          <cell r="AN177" t="str">
            <v/>
          </cell>
        </row>
        <row r="178">
          <cell r="AN178" t="str">
            <v/>
          </cell>
        </row>
        <row r="179">
          <cell r="AN179" t="str">
            <v/>
          </cell>
        </row>
        <row r="180">
          <cell r="AN180" t="str">
            <v/>
          </cell>
        </row>
        <row r="181">
          <cell r="AN181" t="str">
            <v/>
          </cell>
        </row>
        <row r="182">
          <cell r="AN182" t="str">
            <v/>
          </cell>
        </row>
        <row r="183">
          <cell r="AN183" t="str">
            <v/>
          </cell>
        </row>
        <row r="184">
          <cell r="AN184" t="str">
            <v/>
          </cell>
        </row>
        <row r="185">
          <cell r="AN185" t="str">
            <v/>
          </cell>
        </row>
        <row r="186">
          <cell r="AN186" t="str">
            <v/>
          </cell>
        </row>
        <row r="187">
          <cell r="AN187" t="str">
            <v/>
          </cell>
        </row>
        <row r="188">
          <cell r="AN188" t="str">
            <v/>
          </cell>
        </row>
        <row r="189">
          <cell r="AN189" t="str">
            <v/>
          </cell>
        </row>
        <row r="190">
          <cell r="AN190" t="str">
            <v/>
          </cell>
        </row>
        <row r="191">
          <cell r="AN191" t="str">
            <v/>
          </cell>
        </row>
        <row r="192">
          <cell r="AN192" t="str">
            <v/>
          </cell>
        </row>
        <row r="193">
          <cell r="AN193" t="str">
            <v/>
          </cell>
        </row>
        <row r="194">
          <cell r="AN194" t="str">
            <v/>
          </cell>
        </row>
        <row r="195">
          <cell r="AN195" t="str">
            <v/>
          </cell>
        </row>
        <row r="196">
          <cell r="AN196" t="str">
            <v/>
          </cell>
        </row>
        <row r="197">
          <cell r="AN197" t="str">
            <v/>
          </cell>
        </row>
        <row r="198">
          <cell r="AN198" t="str">
            <v/>
          </cell>
        </row>
        <row r="199">
          <cell r="AN199" t="str">
            <v/>
          </cell>
        </row>
        <row r="200">
          <cell r="AN200" t="str">
            <v/>
          </cell>
        </row>
        <row r="201">
          <cell r="AN201" t="str">
            <v/>
          </cell>
        </row>
        <row r="202">
          <cell r="AN202" t="str">
            <v/>
          </cell>
        </row>
        <row r="203">
          <cell r="AN203" t="str">
            <v/>
          </cell>
        </row>
        <row r="204">
          <cell r="AN204" t="str">
            <v/>
          </cell>
        </row>
        <row r="205">
          <cell r="AN205" t="str">
            <v/>
          </cell>
        </row>
        <row r="206">
          <cell r="AN206" t="str">
            <v/>
          </cell>
        </row>
        <row r="207">
          <cell r="AN207" t="str">
            <v/>
          </cell>
        </row>
        <row r="208">
          <cell r="AN208" t="str">
            <v/>
          </cell>
        </row>
        <row r="209">
          <cell r="AN209" t="str">
            <v/>
          </cell>
        </row>
        <row r="210">
          <cell r="AN210" t="str">
            <v/>
          </cell>
        </row>
        <row r="211">
          <cell r="AN211" t="str">
            <v/>
          </cell>
        </row>
        <row r="212">
          <cell r="AN212" t="str">
            <v/>
          </cell>
        </row>
        <row r="213">
          <cell r="AN213" t="str">
            <v/>
          </cell>
        </row>
        <row r="214">
          <cell r="AN214" t="str">
            <v/>
          </cell>
        </row>
        <row r="215">
          <cell r="AN215" t="str">
            <v/>
          </cell>
        </row>
        <row r="216">
          <cell r="AN216" t="str">
            <v/>
          </cell>
        </row>
        <row r="217">
          <cell r="AN217" t="str">
            <v/>
          </cell>
        </row>
        <row r="218">
          <cell r="AN218" t="str">
            <v/>
          </cell>
        </row>
        <row r="219">
          <cell r="AN219" t="str">
            <v/>
          </cell>
        </row>
        <row r="220">
          <cell r="AN220" t="str">
            <v/>
          </cell>
        </row>
        <row r="221">
          <cell r="AN221" t="str">
            <v/>
          </cell>
        </row>
        <row r="222">
          <cell r="AN222" t="str">
            <v/>
          </cell>
        </row>
        <row r="223">
          <cell r="AN223" t="str">
            <v/>
          </cell>
        </row>
        <row r="224">
          <cell r="AN224" t="str">
            <v/>
          </cell>
        </row>
        <row r="225">
          <cell r="AN225" t="str">
            <v/>
          </cell>
        </row>
        <row r="226">
          <cell r="AN226" t="str">
            <v/>
          </cell>
        </row>
        <row r="227">
          <cell r="AN227" t="str">
            <v/>
          </cell>
        </row>
        <row r="228">
          <cell r="AN228" t="str">
            <v/>
          </cell>
        </row>
        <row r="229">
          <cell r="AN229" t="str">
            <v/>
          </cell>
        </row>
        <row r="230">
          <cell r="AN230" t="str">
            <v/>
          </cell>
        </row>
        <row r="231">
          <cell r="AN231" t="str">
            <v/>
          </cell>
        </row>
        <row r="232">
          <cell r="AN232" t="str">
            <v/>
          </cell>
        </row>
        <row r="233">
          <cell r="AN233" t="str">
            <v/>
          </cell>
        </row>
        <row r="234">
          <cell r="AN234" t="str">
            <v/>
          </cell>
        </row>
        <row r="235">
          <cell r="AN235" t="str">
            <v/>
          </cell>
        </row>
        <row r="236">
          <cell r="AN236" t="str">
            <v/>
          </cell>
        </row>
        <row r="237">
          <cell r="AN237" t="str">
            <v/>
          </cell>
        </row>
        <row r="238">
          <cell r="AN238" t="str">
            <v/>
          </cell>
        </row>
        <row r="239">
          <cell r="AN239" t="str">
            <v/>
          </cell>
        </row>
        <row r="240">
          <cell r="AN240" t="str">
            <v/>
          </cell>
        </row>
        <row r="241">
          <cell r="AN241" t="str">
            <v/>
          </cell>
        </row>
        <row r="242">
          <cell r="AN242" t="str">
            <v/>
          </cell>
        </row>
        <row r="243">
          <cell r="AN243" t="str">
            <v/>
          </cell>
        </row>
        <row r="244">
          <cell r="AN244" t="str">
            <v/>
          </cell>
        </row>
        <row r="245">
          <cell r="AN245" t="str">
            <v/>
          </cell>
        </row>
        <row r="246">
          <cell r="AN246" t="str">
            <v/>
          </cell>
        </row>
        <row r="247">
          <cell r="AN247" t="str">
            <v/>
          </cell>
        </row>
        <row r="248">
          <cell r="AN248" t="str">
            <v/>
          </cell>
        </row>
        <row r="249">
          <cell r="AN249" t="str">
            <v/>
          </cell>
        </row>
        <row r="250">
          <cell r="AN250" t="str">
            <v/>
          </cell>
        </row>
        <row r="251">
          <cell r="AN251" t="str">
            <v/>
          </cell>
        </row>
        <row r="252">
          <cell r="AN252" t="str">
            <v/>
          </cell>
        </row>
        <row r="253">
          <cell r="AN253" t="str">
            <v/>
          </cell>
        </row>
        <row r="254">
          <cell r="AN254" t="str">
            <v/>
          </cell>
        </row>
        <row r="255">
          <cell r="AN255" t="str">
            <v/>
          </cell>
        </row>
        <row r="256">
          <cell r="AN256" t="str">
            <v/>
          </cell>
        </row>
        <row r="257">
          <cell r="AN257" t="str">
            <v/>
          </cell>
        </row>
        <row r="258">
          <cell r="AN258" t="str">
            <v/>
          </cell>
        </row>
        <row r="259">
          <cell r="AN259" t="str">
            <v/>
          </cell>
        </row>
        <row r="260">
          <cell r="AN260" t="str">
            <v/>
          </cell>
        </row>
        <row r="261">
          <cell r="AN261" t="str">
            <v/>
          </cell>
        </row>
        <row r="262">
          <cell r="AN262" t="str">
            <v/>
          </cell>
        </row>
        <row r="263">
          <cell r="AN263" t="str">
            <v/>
          </cell>
        </row>
        <row r="264">
          <cell r="AN264" t="str">
            <v/>
          </cell>
        </row>
        <row r="265">
          <cell r="AN265" t="str">
            <v/>
          </cell>
        </row>
        <row r="266">
          <cell r="AN266" t="str">
            <v/>
          </cell>
        </row>
        <row r="267">
          <cell r="AN267" t="str">
            <v/>
          </cell>
        </row>
        <row r="268">
          <cell r="AN268" t="str">
            <v/>
          </cell>
        </row>
        <row r="269">
          <cell r="AN269" t="str">
            <v/>
          </cell>
        </row>
        <row r="270">
          <cell r="AN270" t="str">
            <v/>
          </cell>
        </row>
        <row r="271">
          <cell r="AN271" t="str">
            <v/>
          </cell>
        </row>
        <row r="272">
          <cell r="AN272" t="str">
            <v/>
          </cell>
        </row>
        <row r="273">
          <cell r="AN273" t="str">
            <v/>
          </cell>
        </row>
        <row r="274">
          <cell r="AN274" t="str">
            <v/>
          </cell>
        </row>
        <row r="275">
          <cell r="AN275" t="str">
            <v/>
          </cell>
        </row>
        <row r="276">
          <cell r="AN276" t="str">
            <v/>
          </cell>
        </row>
        <row r="277">
          <cell r="AN277" t="str">
            <v/>
          </cell>
        </row>
        <row r="278">
          <cell r="AN278" t="str">
            <v/>
          </cell>
        </row>
        <row r="279">
          <cell r="AN279" t="str">
            <v/>
          </cell>
        </row>
        <row r="280">
          <cell r="AN280" t="str">
            <v/>
          </cell>
        </row>
        <row r="281">
          <cell r="AN281" t="str">
            <v/>
          </cell>
        </row>
        <row r="282">
          <cell r="AN282" t="str">
            <v/>
          </cell>
        </row>
        <row r="283">
          <cell r="AN283" t="str">
            <v/>
          </cell>
        </row>
        <row r="284">
          <cell r="AN284" t="str">
            <v/>
          </cell>
        </row>
        <row r="285">
          <cell r="AN285" t="str">
            <v/>
          </cell>
        </row>
        <row r="286">
          <cell r="AN286" t="str">
            <v/>
          </cell>
        </row>
        <row r="287">
          <cell r="AN287" t="str">
            <v/>
          </cell>
        </row>
        <row r="289">
          <cell r="AN289" t="str">
            <v/>
          </cell>
        </row>
        <row r="290">
          <cell r="AN290" t="str">
            <v/>
          </cell>
        </row>
        <row r="291">
          <cell r="AN291" t="str">
            <v/>
          </cell>
        </row>
        <row r="292">
          <cell r="AN292" t="str">
            <v/>
          </cell>
        </row>
        <row r="293">
          <cell r="AN293" t="str">
            <v/>
          </cell>
        </row>
        <row r="294">
          <cell r="AN294" t="str">
            <v/>
          </cell>
        </row>
        <row r="295">
          <cell r="AN295" t="str">
            <v/>
          </cell>
        </row>
        <row r="296">
          <cell r="AN296" t="str">
            <v/>
          </cell>
        </row>
        <row r="297">
          <cell r="AN297" t="str">
            <v/>
          </cell>
        </row>
        <row r="298">
          <cell r="AN298" t="str">
            <v/>
          </cell>
        </row>
        <row r="299">
          <cell r="AN299" t="str">
            <v/>
          </cell>
        </row>
        <row r="300">
          <cell r="AN300" t="str">
            <v/>
          </cell>
        </row>
        <row r="301">
          <cell r="AN301" t="str">
            <v/>
          </cell>
        </row>
        <row r="302">
          <cell r="AN302" t="str">
            <v/>
          </cell>
        </row>
        <row r="303">
          <cell r="AN303" t="str">
            <v/>
          </cell>
        </row>
        <row r="304">
          <cell r="AN304" t="str">
            <v/>
          </cell>
        </row>
        <row r="305">
          <cell r="AN305" t="str">
            <v/>
          </cell>
        </row>
        <row r="306">
          <cell r="AN306" t="str">
            <v/>
          </cell>
        </row>
        <row r="307">
          <cell r="AN307" t="str">
            <v/>
          </cell>
        </row>
        <row r="308">
          <cell r="AN308" t="str">
            <v/>
          </cell>
        </row>
        <row r="309">
          <cell r="AN309" t="str">
            <v/>
          </cell>
        </row>
        <row r="310">
          <cell r="AN310" t="str">
            <v/>
          </cell>
        </row>
        <row r="311">
          <cell r="AN311" t="str">
            <v/>
          </cell>
        </row>
        <row r="312">
          <cell r="AN312" t="str">
            <v/>
          </cell>
        </row>
        <row r="313">
          <cell r="AN313" t="str">
            <v/>
          </cell>
        </row>
        <row r="314">
          <cell r="AN314" t="str">
            <v/>
          </cell>
        </row>
        <row r="315">
          <cell r="AN315" t="str">
            <v/>
          </cell>
        </row>
        <row r="316">
          <cell r="AN316" t="str">
            <v/>
          </cell>
        </row>
        <row r="317">
          <cell r="AN317" t="str">
            <v/>
          </cell>
        </row>
        <row r="318">
          <cell r="AN318" t="str">
            <v/>
          </cell>
        </row>
        <row r="319">
          <cell r="AN319" t="str">
            <v/>
          </cell>
        </row>
        <row r="320">
          <cell r="AN320" t="str">
            <v/>
          </cell>
        </row>
        <row r="321">
          <cell r="AN321" t="str">
            <v/>
          </cell>
        </row>
        <row r="322">
          <cell r="AN322" t="str">
            <v/>
          </cell>
        </row>
        <row r="323">
          <cell r="AN323" t="str">
            <v/>
          </cell>
        </row>
        <row r="324">
          <cell r="AN324" t="str">
            <v/>
          </cell>
        </row>
        <row r="325">
          <cell r="AN325" t="str">
            <v/>
          </cell>
        </row>
        <row r="326">
          <cell r="AN326" t="str">
            <v/>
          </cell>
        </row>
        <row r="327">
          <cell r="AN327" t="str">
            <v/>
          </cell>
        </row>
        <row r="328">
          <cell r="AN328" t="str">
            <v/>
          </cell>
        </row>
        <row r="329">
          <cell r="AN329" t="str">
            <v/>
          </cell>
        </row>
        <row r="330">
          <cell r="AN330" t="str">
            <v/>
          </cell>
        </row>
        <row r="331">
          <cell r="AN331" t="str">
            <v/>
          </cell>
        </row>
        <row r="332">
          <cell r="AN332" t="str">
            <v/>
          </cell>
        </row>
        <row r="333">
          <cell r="AN333" t="str">
            <v/>
          </cell>
        </row>
        <row r="334">
          <cell r="AN334" t="str">
            <v/>
          </cell>
        </row>
        <row r="335">
          <cell r="AN335" t="str">
            <v/>
          </cell>
        </row>
        <row r="336">
          <cell r="AN336" t="str">
            <v/>
          </cell>
        </row>
        <row r="337">
          <cell r="AN337" t="str">
            <v/>
          </cell>
        </row>
        <row r="338">
          <cell r="AN338" t="str">
            <v/>
          </cell>
        </row>
        <row r="339">
          <cell r="AN339" t="str">
            <v/>
          </cell>
        </row>
        <row r="340">
          <cell r="AN340" t="str">
            <v/>
          </cell>
        </row>
        <row r="341">
          <cell r="AN341" t="str">
            <v/>
          </cell>
        </row>
        <row r="342">
          <cell r="AN342" t="str">
            <v/>
          </cell>
        </row>
        <row r="343">
          <cell r="AN343" t="str">
            <v/>
          </cell>
        </row>
        <row r="344">
          <cell r="AN344" t="str">
            <v/>
          </cell>
        </row>
        <row r="345">
          <cell r="AN345" t="str">
            <v/>
          </cell>
        </row>
        <row r="346">
          <cell r="AN346" t="str">
            <v/>
          </cell>
        </row>
        <row r="347">
          <cell r="AN347" t="str">
            <v/>
          </cell>
        </row>
        <row r="348">
          <cell r="AN348" t="str">
            <v/>
          </cell>
        </row>
        <row r="349">
          <cell r="AN349" t="str">
            <v/>
          </cell>
        </row>
        <row r="350">
          <cell r="AN350" t="str">
            <v/>
          </cell>
        </row>
        <row r="351">
          <cell r="AN351" t="str">
            <v/>
          </cell>
        </row>
        <row r="352">
          <cell r="AN352" t="str">
            <v/>
          </cell>
        </row>
        <row r="353">
          <cell r="AN353" t="str">
            <v/>
          </cell>
        </row>
        <row r="354">
          <cell r="AN354" t="str">
            <v/>
          </cell>
        </row>
        <row r="355">
          <cell r="AN355" t="str">
            <v/>
          </cell>
        </row>
        <row r="356">
          <cell r="AN356" t="str">
            <v/>
          </cell>
        </row>
        <row r="357">
          <cell r="AN357" t="str">
            <v/>
          </cell>
        </row>
        <row r="358">
          <cell r="AN358" t="str">
            <v/>
          </cell>
        </row>
        <row r="359">
          <cell r="AN359" t="str">
            <v/>
          </cell>
        </row>
        <row r="360">
          <cell r="AN360" t="str">
            <v/>
          </cell>
        </row>
        <row r="361">
          <cell r="AN361" t="str">
            <v/>
          </cell>
        </row>
        <row r="362">
          <cell r="AN362" t="str">
            <v/>
          </cell>
        </row>
        <row r="363">
          <cell r="AN363" t="str">
            <v/>
          </cell>
        </row>
        <row r="364">
          <cell r="AN364" t="str">
            <v/>
          </cell>
        </row>
        <row r="365">
          <cell r="AN365" t="str">
            <v/>
          </cell>
        </row>
        <row r="366">
          <cell r="AN366" t="str">
            <v/>
          </cell>
        </row>
        <row r="367">
          <cell r="AN367" t="str">
            <v/>
          </cell>
        </row>
        <row r="368">
          <cell r="AN368" t="str">
            <v/>
          </cell>
        </row>
        <row r="369">
          <cell r="AN369" t="str">
            <v/>
          </cell>
        </row>
        <row r="370">
          <cell r="AN370" t="str">
            <v/>
          </cell>
        </row>
        <row r="371">
          <cell r="AN371" t="str">
            <v/>
          </cell>
        </row>
        <row r="372">
          <cell r="AN372" t="str">
            <v/>
          </cell>
        </row>
        <row r="373">
          <cell r="AN373" t="str">
            <v/>
          </cell>
        </row>
        <row r="374">
          <cell r="AN374" t="str">
            <v/>
          </cell>
        </row>
        <row r="375">
          <cell r="AN375" t="str">
            <v/>
          </cell>
        </row>
        <row r="376">
          <cell r="AN376" t="str">
            <v/>
          </cell>
        </row>
        <row r="377">
          <cell r="AN377" t="str">
            <v/>
          </cell>
        </row>
        <row r="378">
          <cell r="AN378" t="str">
            <v/>
          </cell>
        </row>
        <row r="379">
          <cell r="AN379" t="str">
            <v/>
          </cell>
        </row>
        <row r="380">
          <cell r="AN380" t="str">
            <v/>
          </cell>
        </row>
        <row r="381">
          <cell r="AN381" t="str">
            <v/>
          </cell>
        </row>
        <row r="382">
          <cell r="AN382" t="str">
            <v/>
          </cell>
        </row>
        <row r="383">
          <cell r="AN383" t="str">
            <v/>
          </cell>
        </row>
        <row r="384">
          <cell r="AN384" t="str">
            <v/>
          </cell>
        </row>
        <row r="385">
          <cell r="AN385" t="str">
            <v/>
          </cell>
        </row>
        <row r="386">
          <cell r="AN386" t="str">
            <v/>
          </cell>
        </row>
        <row r="387">
          <cell r="AN387" t="str">
            <v/>
          </cell>
        </row>
        <row r="388">
          <cell r="AN388" t="str">
            <v/>
          </cell>
        </row>
        <row r="389">
          <cell r="AN389" t="str">
            <v/>
          </cell>
        </row>
        <row r="390">
          <cell r="AN390" t="str">
            <v/>
          </cell>
        </row>
        <row r="391">
          <cell r="AN391" t="str">
            <v/>
          </cell>
        </row>
        <row r="392">
          <cell r="AN392" t="str">
            <v/>
          </cell>
        </row>
        <row r="393">
          <cell r="AN393" t="str">
            <v/>
          </cell>
        </row>
        <row r="394">
          <cell r="AN394" t="str">
            <v/>
          </cell>
        </row>
        <row r="395">
          <cell r="AN395" t="str">
            <v/>
          </cell>
        </row>
        <row r="396">
          <cell r="AN396" t="str">
            <v/>
          </cell>
        </row>
        <row r="397">
          <cell r="AN397" t="str">
            <v/>
          </cell>
        </row>
        <row r="398">
          <cell r="AN398" t="str">
            <v/>
          </cell>
        </row>
        <row r="399">
          <cell r="AN399" t="str">
            <v/>
          </cell>
        </row>
        <row r="400">
          <cell r="AN400" t="str">
            <v/>
          </cell>
        </row>
        <row r="401">
          <cell r="AN401" t="str">
            <v/>
          </cell>
        </row>
        <row r="402">
          <cell r="AN402" t="str">
            <v/>
          </cell>
        </row>
        <row r="403">
          <cell r="AN403" t="str">
            <v/>
          </cell>
        </row>
        <row r="404">
          <cell r="AN404" t="str">
            <v/>
          </cell>
        </row>
        <row r="405">
          <cell r="AN405" t="str">
            <v/>
          </cell>
        </row>
        <row r="406">
          <cell r="AN406" t="str">
            <v/>
          </cell>
        </row>
        <row r="407">
          <cell r="AN407" t="str">
            <v/>
          </cell>
        </row>
        <row r="408">
          <cell r="AN408" t="str">
            <v/>
          </cell>
        </row>
        <row r="409">
          <cell r="AN409" t="str">
            <v/>
          </cell>
        </row>
        <row r="410">
          <cell r="AN410" t="str">
            <v/>
          </cell>
        </row>
        <row r="411">
          <cell r="AN411" t="str">
            <v/>
          </cell>
        </row>
        <row r="412">
          <cell r="AN412" t="str">
            <v/>
          </cell>
        </row>
        <row r="413">
          <cell r="AN413" t="str">
            <v/>
          </cell>
        </row>
        <row r="414">
          <cell r="AN414" t="str">
            <v/>
          </cell>
        </row>
        <row r="415">
          <cell r="AN415" t="str">
            <v/>
          </cell>
        </row>
        <row r="416">
          <cell r="AN416" t="str">
            <v/>
          </cell>
        </row>
        <row r="417">
          <cell r="AN417" t="str">
            <v/>
          </cell>
        </row>
        <row r="418">
          <cell r="AN418" t="str">
            <v/>
          </cell>
        </row>
        <row r="419">
          <cell r="AN419" t="str">
            <v/>
          </cell>
        </row>
        <row r="420">
          <cell r="AN420" t="str">
            <v/>
          </cell>
        </row>
        <row r="421">
          <cell r="AN421" t="str">
            <v/>
          </cell>
        </row>
        <row r="422">
          <cell r="AN422" t="str">
            <v/>
          </cell>
        </row>
        <row r="423">
          <cell r="AN423" t="str">
            <v/>
          </cell>
        </row>
        <row r="424">
          <cell r="AN424" t="str">
            <v/>
          </cell>
        </row>
        <row r="425">
          <cell r="AN425" t="str">
            <v/>
          </cell>
        </row>
        <row r="426">
          <cell r="AN426" t="str">
            <v/>
          </cell>
        </row>
        <row r="427">
          <cell r="AN427" t="str">
            <v/>
          </cell>
        </row>
        <row r="428">
          <cell r="AN428" t="str">
            <v/>
          </cell>
        </row>
        <row r="429">
          <cell r="AN429" t="str">
            <v/>
          </cell>
        </row>
        <row r="430">
          <cell r="AN430" t="str">
            <v/>
          </cell>
        </row>
        <row r="431">
          <cell r="AN431" t="str">
            <v/>
          </cell>
        </row>
        <row r="432">
          <cell r="AN432" t="str">
            <v/>
          </cell>
        </row>
        <row r="433">
          <cell r="AN433" t="str">
            <v/>
          </cell>
        </row>
        <row r="434">
          <cell r="AN434" t="str">
            <v/>
          </cell>
        </row>
        <row r="435">
          <cell r="AN435" t="str">
            <v/>
          </cell>
        </row>
        <row r="436">
          <cell r="AN436" t="str">
            <v/>
          </cell>
        </row>
        <row r="437">
          <cell r="AN437" t="str">
            <v/>
          </cell>
        </row>
        <row r="438">
          <cell r="AN438" t="str">
            <v/>
          </cell>
        </row>
        <row r="439">
          <cell r="AN439" t="str">
            <v/>
          </cell>
        </row>
        <row r="440">
          <cell r="AN440" t="str">
            <v/>
          </cell>
        </row>
        <row r="441">
          <cell r="AN441" t="str">
            <v/>
          </cell>
        </row>
        <row r="442">
          <cell r="AN442" t="str">
            <v/>
          </cell>
        </row>
        <row r="443">
          <cell r="AN443" t="str">
            <v/>
          </cell>
        </row>
        <row r="444">
          <cell r="AN444" t="str">
            <v/>
          </cell>
        </row>
        <row r="445">
          <cell r="AN445" t="str">
            <v/>
          </cell>
        </row>
        <row r="446">
          <cell r="AN446" t="str">
            <v/>
          </cell>
        </row>
        <row r="447">
          <cell r="AN447" t="str">
            <v/>
          </cell>
        </row>
        <row r="448">
          <cell r="AN448" t="str">
            <v/>
          </cell>
        </row>
        <row r="449">
          <cell r="AN449" t="str">
            <v/>
          </cell>
        </row>
        <row r="450">
          <cell r="AN450" t="str">
            <v/>
          </cell>
        </row>
        <row r="451">
          <cell r="AN451" t="str">
            <v/>
          </cell>
        </row>
        <row r="452">
          <cell r="AN452" t="str">
            <v/>
          </cell>
        </row>
        <row r="453">
          <cell r="AN453" t="str">
            <v/>
          </cell>
        </row>
        <row r="454">
          <cell r="AN454" t="str">
            <v/>
          </cell>
        </row>
        <row r="455">
          <cell r="AN455" t="str">
            <v/>
          </cell>
        </row>
        <row r="456">
          <cell r="AN456" t="str">
            <v/>
          </cell>
        </row>
        <row r="457">
          <cell r="AN457" t="str">
            <v/>
          </cell>
        </row>
        <row r="458">
          <cell r="AN458" t="str">
            <v/>
          </cell>
        </row>
        <row r="459">
          <cell r="AN459" t="str">
            <v/>
          </cell>
        </row>
        <row r="460">
          <cell r="AN460" t="str">
            <v/>
          </cell>
        </row>
        <row r="461">
          <cell r="AN461" t="str">
            <v/>
          </cell>
        </row>
        <row r="462">
          <cell r="AN462" t="str">
            <v/>
          </cell>
        </row>
        <row r="463">
          <cell r="AN463" t="str">
            <v/>
          </cell>
        </row>
        <row r="464">
          <cell r="AN464" t="str">
            <v/>
          </cell>
        </row>
        <row r="465">
          <cell r="AN465" t="str">
            <v/>
          </cell>
        </row>
        <row r="466">
          <cell r="AN466" t="str">
            <v/>
          </cell>
        </row>
        <row r="467">
          <cell r="AN467" t="str">
            <v/>
          </cell>
        </row>
        <row r="468">
          <cell r="AN468" t="str">
            <v/>
          </cell>
        </row>
        <row r="469">
          <cell r="AN469" t="str">
            <v/>
          </cell>
        </row>
        <row r="470">
          <cell r="AN470" t="str">
            <v/>
          </cell>
        </row>
        <row r="471">
          <cell r="AN471" t="str">
            <v/>
          </cell>
        </row>
        <row r="472">
          <cell r="AN472" t="str">
            <v/>
          </cell>
        </row>
        <row r="473">
          <cell r="AN473" t="str">
            <v/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 t="str">
            <v/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 t="str">
            <v/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 t="str">
            <v/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 t="str">
            <v/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 t="str">
            <v/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 t="str">
            <v/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 t="str">
            <v/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 t="str">
            <v/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 t="str">
            <v/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 t="str">
            <v/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 t="str">
            <v/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 t="str">
            <v/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 t="str">
            <v/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 t="str">
            <v/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 t="str">
            <v/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 t="str">
            <v/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 t="str">
            <v/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 t="str">
            <v/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 t="str">
            <v/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 t="str">
            <v/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 t="str">
            <v/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 t="str">
            <v/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 t="str">
            <v/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 t="str">
            <v/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 t="str">
            <v/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 t="str">
            <v/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 t="str">
            <v/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 t="str">
            <v/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 t="str">
            <v/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 t="str">
            <v/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 t="str">
            <v/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 t="str">
            <v/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 t="str">
            <v/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 t="str">
            <v/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 t="str">
            <v/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 t="str">
            <v/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 t="str">
            <v/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 t="str">
            <v/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 t="str">
            <v/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 t="str">
            <v/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 t="str">
            <v/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 t="str">
            <v/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 t="str">
            <v/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 t="str">
            <v/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 t="str">
            <v/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 t="str">
            <v/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 t="str">
            <v/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 t="str">
            <v/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 t="str">
            <v/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 t="str">
            <v/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 t="str">
            <v/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 t="str">
            <v/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 t="str">
            <v/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 t="str">
            <v/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 t="str">
            <v/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 t="str">
            <v/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 t="str">
            <v/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 t="str">
            <v/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 t="str">
            <v/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 t="str">
            <v/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 t="str">
            <v/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 t="str">
            <v/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 t="str">
            <v/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 t="str">
            <v/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 t="str">
            <v/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 t="str">
            <v/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 t="str">
            <v/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 t="str">
            <v/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 t="str">
            <v/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 t="str">
            <v/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 t="str">
            <v/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 t="str">
            <v/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 t="str">
            <v/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 t="str">
            <v/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 t="str">
            <v/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 t="str">
            <v/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 t="str">
            <v/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 t="str">
            <v/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 t="str">
            <v/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 t="str">
            <v/>
          </cell>
          <cell r="R69" t="str">
            <v/>
          </cell>
          <cell r="V69" t="str">
            <v/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 t="str">
            <v/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 t="str">
            <v/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 t="str">
            <v/>
          </cell>
          <cell r="R201" t="str">
            <v/>
          </cell>
          <cell r="V201" t="str">
            <v/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 t="str">
            <v/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 t="str">
            <v/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 t="str">
            <v/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 t="str">
            <v/>
          </cell>
          <cell r="V333" t="str">
            <v/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 t="str">
            <v/>
          </cell>
          <cell r="R366" t="str">
            <v/>
          </cell>
          <cell r="V366" t="str">
            <v/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 t="str">
            <v/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 t="str">
            <v/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/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 t="str">
            <v/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 t="str">
            <v/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 t="str">
            <v/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 t="str">
            <v/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 t="str">
            <v/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 t="str">
            <v/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 t="str">
            <v/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 t="str">
            <v/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 t="str">
            <v/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/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 t="str">
            <v/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/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/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 t="str">
            <v/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/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/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/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 t="str">
            <v/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 t="str">
            <v/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 t="str">
            <v/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 t="str">
            <v/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 t="str">
            <v/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 t="str">
            <v/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 t="str">
            <v/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 t="str">
            <v/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 t="str">
            <v/>
          </cell>
          <cell r="V36" t="str">
            <v/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 t="str">
            <v/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 t="str">
            <v/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 t="str">
            <v/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 t="str">
            <v/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 t="str">
            <v/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 t="str">
            <v/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 t="str">
            <v/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 t="str">
            <v/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 t="str">
            <v/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 t="str">
            <v/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 t="str">
            <v/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 t="str">
            <v/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 t="str">
            <v/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 t="str">
            <v/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 t="str">
            <v/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 t="str">
            <v/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 t="str">
            <v/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 t="str">
            <v/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 t="str">
            <v/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 t="str">
            <v/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 t="str">
            <v/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 t="str">
            <v/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 t="str">
            <v/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 t="str">
            <v/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 t="str">
            <v/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 t="str">
            <v/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 t="str">
            <v/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 t="str">
            <v/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 t="str">
            <v/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 t="str">
            <v/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 t="str">
            <v/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/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/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/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/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/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/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/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 t="str">
            <v/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 t="str">
            <v/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 t="str">
            <v/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 t="str">
            <v/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 t="str">
            <v/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 t="str">
            <v/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 t="str">
            <v/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 t="str">
            <v/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 t="str">
            <v/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 t="str">
            <v/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 t="str">
            <v/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 t="str">
            <v/>
          </cell>
          <cell r="V102" t="str">
            <v/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 t="str">
            <v/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 t="str">
            <v/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 t="str">
            <v/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 t="str">
            <v/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 t="str">
            <v/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 t="str">
            <v/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 t="str">
            <v/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 t="str">
            <v/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 t="str">
            <v/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 t="str">
            <v/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 t="str">
            <v/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/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/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 t="str">
            <v/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 t="str">
            <v/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 t="str">
            <v/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 t="str">
            <v/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 t="str">
            <v/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 t="str">
            <v/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 t="str">
            <v/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 t="str">
            <v/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 t="str">
            <v/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 t="str">
            <v/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 t="str">
            <v/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 t="str">
            <v/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 t="str">
            <v/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 t="str">
            <v/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 t="str">
            <v/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 t="str">
            <v/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 t="str">
            <v/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 t="str">
            <v/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 t="str">
            <v/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 t="str">
            <v/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 t="str">
            <v/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 t="str">
            <v/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 t="str">
            <v/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 t="str">
            <v/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 t="str">
            <v/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 t="str">
            <v/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 t="str">
            <v/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 t="str">
            <v/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 t="str">
            <v/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 t="str">
            <v/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 t="str">
            <v/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 t="str">
            <v/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 t="str">
            <v/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 t="str">
            <v/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 t="str">
            <v/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 t="str">
            <v/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MTD OB Forecasting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B3" t="str">
            <v>Banpu Public Company  Limted</v>
          </cell>
        </row>
        <row r="4">
          <cell r="B4" t="str">
            <v>Banpu Minerals Company  Limted</v>
          </cell>
        </row>
        <row r="5">
          <cell r="B5" t="str">
            <v>Promsin Company Limited</v>
          </cell>
        </row>
        <row r="6">
          <cell r="B6" t="str">
            <v>Banpu International Limted</v>
          </cell>
        </row>
      </sheetData>
      <sheetData sheetId="5" refreshError="1">
        <row r="2">
          <cell r="B2" t="str">
            <v>Description</v>
          </cell>
        </row>
        <row r="3">
          <cell r="B3" t="str">
            <v>Corporate</v>
          </cell>
        </row>
        <row r="4">
          <cell r="B4" t="str">
            <v>Coal Thailand Business</v>
          </cell>
        </row>
        <row r="5">
          <cell r="B5" t="str">
            <v>Minerals Business</v>
          </cell>
        </row>
        <row r="6">
          <cell r="B6" t="str">
            <v>Engineering Service Business</v>
          </cell>
        </row>
      </sheetData>
      <sheetData sheetId="6" refreshError="1">
        <row r="2">
          <cell r="B2" t="str">
            <v>Description</v>
          </cell>
        </row>
        <row r="3">
          <cell r="B3" t="str">
            <v>Administration</v>
          </cell>
        </row>
        <row r="4">
          <cell r="B4" t="str">
            <v>Office of CEO</v>
          </cell>
        </row>
        <row r="5">
          <cell r="B5" t="str">
            <v>Government Relations</v>
          </cell>
        </row>
        <row r="6">
          <cell r="B6" t="str">
            <v>Corporate Communications</v>
          </cell>
        </row>
      </sheetData>
      <sheetData sheetId="7" refreshError="1">
        <row r="2">
          <cell r="B2" t="str">
            <v>Description</v>
          </cell>
        </row>
        <row r="3">
          <cell r="B3" t="str">
            <v>Routine</v>
          </cell>
        </row>
        <row r="4">
          <cell r="B4" t="str">
            <v>Increase domestic coal sales valume in cement industy</v>
          </cell>
        </row>
        <row r="5">
          <cell r="B5" t="str">
            <v>Sell Coal to EGAT</v>
          </cell>
        </row>
        <row r="6">
          <cell r="B6" t="str">
            <v>Routine-Sales-Coal Thailand</v>
          </cell>
        </row>
      </sheetData>
      <sheetData sheetId="8" refreshError="1">
        <row r="2">
          <cell r="B2" t="str">
            <v>Description</v>
          </cell>
        </row>
        <row r="3">
          <cell r="B3" t="str">
            <v>Land</v>
          </cell>
        </row>
        <row r="4">
          <cell r="B4" t="str">
            <v>Land Improvement</v>
          </cell>
        </row>
        <row r="5">
          <cell r="B5" t="str">
            <v>Building</v>
          </cell>
        </row>
        <row r="6">
          <cell r="B6" t="str">
            <v>Structures</v>
          </cell>
        </row>
      </sheetData>
      <sheetData sheetId="9" refreshError="1">
        <row r="2">
          <cell r="B2" t="str">
            <v>Description</v>
          </cell>
        </row>
        <row r="3">
          <cell r="B3" t="str">
            <v>SETTING POND</v>
          </cell>
        </row>
        <row r="4">
          <cell r="B4" t="str">
            <v>CONTROLL WATER TANK</v>
          </cell>
        </row>
        <row r="5">
          <cell r="B5" t="str">
            <v>DOCUMENT ROOM</v>
          </cell>
        </row>
        <row r="6">
          <cell r="B6" t="str">
            <v>SPREADER &amp; TRIPPER CAR IN PROGRESS</v>
          </cell>
        </row>
      </sheetData>
      <sheetData sheetId="10" refreshError="1">
        <row r="2">
          <cell r="B2" t="str">
            <v>Description</v>
          </cell>
        </row>
        <row r="3">
          <cell r="B3" t="str">
            <v>Unspecified</v>
          </cell>
        </row>
        <row r="4">
          <cell r="B4" t="str">
            <v>LP-2 Project</v>
          </cell>
        </row>
        <row r="5">
          <cell r="B5" t="str">
            <v>Lampang 3 Project</v>
          </cell>
        </row>
        <row r="6">
          <cell r="B6" t="str">
            <v>LP-2 Project (Coordination)</v>
          </cell>
        </row>
      </sheetData>
      <sheetData sheetId="11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B3" t="str">
            <v>08</v>
          </cell>
        </row>
        <row r="4">
          <cell r="B4" t="str">
            <v>08</v>
          </cell>
        </row>
        <row r="5">
          <cell r="B5" t="str">
            <v>08</v>
          </cell>
        </row>
        <row r="6">
          <cell r="B6" t="str">
            <v>08</v>
          </cell>
        </row>
      </sheetData>
      <sheetData sheetId="21" refreshError="1">
        <row r="2">
          <cell r="B2" t="str">
            <v>Description</v>
          </cell>
        </row>
        <row r="4"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Non-staff Tender Rates"/>
      <sheetName val="EX2500FIX"/>
      <sheetName val="Movement_Bench15 (ob)"/>
      <sheetName val="Movement_Bench15 (ore)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Assumptions"/>
      <sheetName val="BB TO STOCK KTD 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SUM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 t="str">
            <v/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DP Report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DT ob"/>
      <sheetName val="DT coal"/>
      <sheetName val="UP-CIVIL"/>
      <sheetName val="Konversi Jarak"/>
      <sheetName val="Cash Flow"/>
      <sheetName val="OB_TCM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roduction HO"/>
      <sheetName val="EDS110507"/>
      <sheetName val="MA"/>
      <sheetName val="Ppls"/>
      <sheetName val="Dozing Estimation"/>
      <sheetName val="Statistik"/>
      <sheetName val="FORM"/>
      <sheetName val="Prod'n"/>
      <sheetName val="PAR"/>
      <sheetName val="Plant Rate"/>
      <sheetName val="POPULASI 2020"/>
      <sheetName val="BUDGET PER UNIT"/>
      <sheetName val="SPO 2020"/>
      <sheetName val="Base Unit"/>
      <sheetName val="Stock"/>
      <sheetName val="Usage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60098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33">
          <cell r="F33">
            <v>0</v>
          </cell>
        </row>
      </sheetData>
      <sheetData sheetId="184">
        <row r="33">
          <cell r="F33">
            <v>0</v>
          </cell>
        </row>
      </sheetData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/>
      <sheetData sheetId="250">
        <row r="33">
          <cell r="F33">
            <v>0</v>
          </cell>
        </row>
      </sheetData>
      <sheetData sheetId="251"/>
      <sheetData sheetId="252"/>
      <sheetData sheetId="253"/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/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/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cov"/>
      <sheetName val="Petrosea"/>
      <sheetName val="02 Prod'n"/>
      <sheetName val="03 Travel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ExcRate"/>
      <sheetName val="EWH-UA"/>
      <sheetName val="DIG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124" activePane="bottomLeft" state="frozen"/>
      <selection pane="bottomLeft" activeCell="B1" sqref="B1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89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90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86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87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5"/>
  <sheetViews>
    <sheetView tabSelected="1" zoomScale="70" zoomScaleNormal="70" workbookViewId="0">
      <pane xSplit="1" ySplit="4" topLeftCell="B165" activePane="bottomRight" state="frozen"/>
      <selection pane="topRight" activeCell="B1" sqref="B1"/>
      <selection pane="bottomLeft" activeCell="A5" sqref="A5"/>
      <selection pane="bottomRight" activeCell="A180" sqref="A180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88</v>
      </c>
      <c r="C3" s="4" t="s">
        <v>88</v>
      </c>
      <c r="D3" s="4" t="s">
        <v>88</v>
      </c>
      <c r="E3" s="4" t="s">
        <v>88</v>
      </c>
      <c r="F3" s="4" t="s">
        <v>88</v>
      </c>
      <c r="G3" s="4" t="s">
        <v>62</v>
      </c>
      <c r="H3" s="4" t="s">
        <v>62</v>
      </c>
      <c r="I3" s="4" t="s">
        <v>62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84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6530.8425999999999</v>
      </c>
      <c r="F5" s="10">
        <f t="shared" si="0"/>
        <v>7716.6778090000025</v>
      </c>
      <c r="G5" s="10">
        <f t="shared" si="0"/>
        <v>7640.3811245382258</v>
      </c>
      <c r="H5" s="10">
        <f t="shared" si="0"/>
        <v>8789.2467888000028</v>
      </c>
      <c r="I5" s="10">
        <f t="shared" si="0"/>
        <v>8512.6790073979319</v>
      </c>
      <c r="J5" s="10">
        <f t="shared" si="0"/>
        <v>8487.7924339737674</v>
      </c>
      <c r="K5" s="10">
        <f t="shared" si="0"/>
        <v>8923.7707285466677</v>
      </c>
      <c r="L5" s="10">
        <f t="shared" si="0"/>
        <v>9012.2650101430154</v>
      </c>
      <c r="M5" s="10">
        <f t="shared" si="0"/>
        <v>8731.447750981104</v>
      </c>
      <c r="N5" s="10">
        <f>SUM(B5:M5)</f>
        <v>95196.778391180735</v>
      </c>
      <c r="P5" s="10">
        <f>'Budget 2025'!N5</f>
        <v>94714.47819029224</v>
      </c>
      <c r="Q5" s="27">
        <f>N5/P5</f>
        <v>1.0050921486356024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30">
        <v>2096.5402220000001</v>
      </c>
      <c r="F6" s="30">
        <v>2379.9843150000002</v>
      </c>
      <c r="G6" s="8">
        <v>2514.0059808640658</v>
      </c>
      <c r="H6" s="8">
        <v>3223.0037328000003</v>
      </c>
      <c r="I6" s="8">
        <v>3121.8470612055389</v>
      </c>
      <c r="J6" s="8">
        <v>2945.2593315881622</v>
      </c>
      <c r="K6" s="8">
        <v>3295.4854561466664</v>
      </c>
      <c r="L6" s="8">
        <v>3411.2247709430162</v>
      </c>
      <c r="M6" s="8">
        <v>3319.0401584211049</v>
      </c>
      <c r="N6" s="8">
        <f t="shared" ref="N6:N7" si="1">SUM(B6:M6)</f>
        <v>33673.895863668557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30">
        <v>4434.3023780000003</v>
      </c>
      <c r="F7" s="30">
        <v>5336.6934940000019</v>
      </c>
      <c r="G7" s="8">
        <v>5126.3751436741595</v>
      </c>
      <c r="H7" s="8">
        <v>5566.2430560000021</v>
      </c>
      <c r="I7" s="8">
        <v>5390.8319461923929</v>
      </c>
      <c r="J7" s="8">
        <v>5542.5331023856052</v>
      </c>
      <c r="K7" s="8">
        <v>5628.2852724000013</v>
      </c>
      <c r="L7" s="8">
        <v>5601.0402391999996</v>
      </c>
      <c r="M7" s="8">
        <v>5412.4075925599991</v>
      </c>
      <c r="N7" s="8">
        <f t="shared" si="1"/>
        <v>61522.882527512156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444.51200610661351</v>
      </c>
      <c r="F8" s="10">
        <f t="shared" si="2"/>
        <v>639.80023539999979</v>
      </c>
      <c r="G8" s="10">
        <f t="shared" si="2"/>
        <v>584.49964354228723</v>
      </c>
      <c r="H8" s="10">
        <f t="shared" si="2"/>
        <v>610.00000001311491</v>
      </c>
      <c r="I8" s="10">
        <f t="shared" si="2"/>
        <v>660.00000001419005</v>
      </c>
      <c r="J8" s="10">
        <f t="shared" si="2"/>
        <v>660.00000001418994</v>
      </c>
      <c r="K8" s="10">
        <f t="shared" si="2"/>
        <v>650.00000001397495</v>
      </c>
      <c r="L8" s="10">
        <f t="shared" si="2"/>
        <v>650.00000001397495</v>
      </c>
      <c r="M8" s="10">
        <f t="shared" si="2"/>
        <v>581.44831789731984</v>
      </c>
      <c r="N8" s="10">
        <f t="shared" si="2"/>
        <v>7060.0000000156651</v>
      </c>
      <c r="P8" s="10">
        <f>'Budget 2025'!N8</f>
        <v>6950.0000001494245</v>
      </c>
      <c r="Q8" s="27">
        <f>N8/P8</f>
        <v>1.0158273381099101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30">
        <v>88.560643702912401</v>
      </c>
      <c r="F9" s="30">
        <v>157.31739978085881</v>
      </c>
      <c r="G9" s="8">
        <v>155.35257367585069</v>
      </c>
      <c r="H9" s="8">
        <v>165.00000000354746</v>
      </c>
      <c r="I9" s="8">
        <v>159.13426744480029</v>
      </c>
      <c r="J9" s="8">
        <v>130.00000000279499</v>
      </c>
      <c r="K9" s="8">
        <v>130.00000000279499</v>
      </c>
      <c r="L9" s="8">
        <v>130.00000000279499</v>
      </c>
      <c r="M9" s="8">
        <v>125.0000000026875</v>
      </c>
      <c r="N9" s="8">
        <f t="shared" ref="N9:N11" si="3">SUM(B9:M9)</f>
        <v>1732.5000000067157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30">
        <v>355.95136240370113</v>
      </c>
      <c r="F10" s="30">
        <v>482.48283561914104</v>
      </c>
      <c r="G10" s="8">
        <v>429.14706986643648</v>
      </c>
      <c r="H10" s="8">
        <v>445.00000000956743</v>
      </c>
      <c r="I10" s="8">
        <v>500.86573256938976</v>
      </c>
      <c r="J10" s="8">
        <v>530.00000001139495</v>
      </c>
      <c r="K10" s="8">
        <v>520.00000001117996</v>
      </c>
      <c r="L10" s="8">
        <v>520.00000001117996</v>
      </c>
      <c r="M10" s="8">
        <v>456.44831789463234</v>
      </c>
      <c r="N10" s="8">
        <f t="shared" si="3"/>
        <v>5327.5000000089494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14.692162439440651</v>
      </c>
      <c r="F12" s="11">
        <f t="shared" si="4"/>
        <v>12.061073725888168</v>
      </c>
      <c r="G12" s="11">
        <f t="shared" si="4"/>
        <v>13.071660879439802</v>
      </c>
      <c r="H12" s="11">
        <f t="shared" si="4"/>
        <v>14.408601292804976</v>
      </c>
      <c r="I12" s="11">
        <f t="shared" si="4"/>
        <v>12.897998495780165</v>
      </c>
      <c r="J12" s="11">
        <f t="shared" si="4"/>
        <v>12.860291566350424</v>
      </c>
      <c r="K12" s="11">
        <f t="shared" si="4"/>
        <v>13.72887804362278</v>
      </c>
      <c r="L12" s="11">
        <f t="shared" si="4"/>
        <v>13.865023092229618</v>
      </c>
      <c r="M12" s="11">
        <f t="shared" si="4"/>
        <v>15.016722006448427</v>
      </c>
      <c r="N12" s="11">
        <f t="shared" si="4"/>
        <v>13.483962944896531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479.30494752121433</v>
      </c>
      <c r="F13" s="10">
        <f t="shared" si="5"/>
        <v>584.25</v>
      </c>
      <c r="G13" s="10">
        <f t="shared" si="5"/>
        <v>584.25000001252386</v>
      </c>
      <c r="H13" s="10">
        <f>SUM(H14:H16)</f>
        <v>625.7500000131148</v>
      </c>
      <c r="I13" s="10">
        <f t="shared" si="5"/>
        <v>672.75000001418994</v>
      </c>
      <c r="J13" s="10">
        <f t="shared" si="5"/>
        <v>672.75000001418982</v>
      </c>
      <c r="K13" s="10">
        <f t="shared" si="5"/>
        <v>642.00000001418994</v>
      </c>
      <c r="L13" s="10">
        <f t="shared" si="5"/>
        <v>642.00000001418994</v>
      </c>
      <c r="M13" s="10">
        <f t="shared" si="5"/>
        <v>533.33644639638726</v>
      </c>
      <c r="N13" s="10">
        <f>SUM(B13:M13)</f>
        <v>7134.9999999999991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30">
        <v>100.53441410291239</v>
      </c>
      <c r="F14" s="30">
        <v>165</v>
      </c>
      <c r="G14" s="8">
        <v>148.50000000301</v>
      </c>
      <c r="H14" s="8">
        <v>175.00000000354746</v>
      </c>
      <c r="I14" s="8">
        <v>165.00000000354748</v>
      </c>
      <c r="J14" s="8">
        <v>130.00000000279499</v>
      </c>
      <c r="K14" s="8">
        <v>115.00000000279501</v>
      </c>
      <c r="L14" s="8">
        <v>115.00000000279501</v>
      </c>
      <c r="M14" s="8">
        <v>47.887695490923505</v>
      </c>
      <c r="N14" s="8">
        <f t="shared" ref="N14:N15" si="6">SUM(B14:M14)</f>
        <v>1729.9999999999998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30">
        <v>378.57866440370123</v>
      </c>
      <c r="F15" s="30">
        <v>415</v>
      </c>
      <c r="G15" s="8">
        <v>431.50000000951383</v>
      </c>
      <c r="H15" s="8">
        <v>446.50000000956737</v>
      </c>
      <c r="I15" s="8">
        <v>495.00000001064245</v>
      </c>
      <c r="J15" s="8">
        <v>530.00000001139483</v>
      </c>
      <c r="K15" s="8">
        <v>514.25000001139495</v>
      </c>
      <c r="L15" s="8">
        <v>514.25000001139495</v>
      </c>
      <c r="M15" s="8">
        <v>472.69875090546373</v>
      </c>
      <c r="N15" s="8">
        <f t="shared" si="6"/>
        <v>5328.3081309853997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30">
        <v>0.19186901460068298</v>
      </c>
      <c r="F16" s="30">
        <v>4.25</v>
      </c>
      <c r="G16" s="14">
        <v>4.25</v>
      </c>
      <c r="H16" s="14">
        <v>4.25</v>
      </c>
      <c r="I16" s="14">
        <v>12.75</v>
      </c>
      <c r="J16" s="14">
        <v>12.75</v>
      </c>
      <c r="K16" s="14">
        <v>12.75</v>
      </c>
      <c r="L16" s="14">
        <v>12.75</v>
      </c>
      <c r="M16" s="14">
        <v>12.75</v>
      </c>
      <c r="N16" s="8">
        <f>SUM(B16:M16)</f>
        <v>76.691869014600684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7">C5/C13</f>
        <v>12.688366624313216</v>
      </c>
      <c r="D17" s="11">
        <f t="shared" si="7"/>
        <v>13.307144571662715</v>
      </c>
      <c r="E17" s="11">
        <f t="shared" si="7"/>
        <v>13.625652382215272</v>
      </c>
      <c r="F17" s="11">
        <f t="shared" si="7"/>
        <v>13.207835359863077</v>
      </c>
      <c r="G17" s="11">
        <f t="shared" si="7"/>
        <v>13.07724625481292</v>
      </c>
      <c r="H17" s="11">
        <f t="shared" si="7"/>
        <v>14.045939734104344</v>
      </c>
      <c r="I17" s="11">
        <f t="shared" si="7"/>
        <v>12.653554823067081</v>
      </c>
      <c r="J17" s="11">
        <f t="shared" si="7"/>
        <v>12.616562517717934</v>
      </c>
      <c r="K17" s="11">
        <f t="shared" si="7"/>
        <v>13.899954405528705</v>
      </c>
      <c r="L17" s="11">
        <f t="shared" si="7"/>
        <v>14.037795965644579</v>
      </c>
      <c r="M17" s="11">
        <f t="shared" si="7"/>
        <v>16.371368973519768</v>
      </c>
      <c r="N17" s="11">
        <f t="shared" si="7"/>
        <v>13.342225422730309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70.128193511949377</v>
      </c>
      <c r="F18" s="10">
        <v>84.530922874475152</v>
      </c>
      <c r="G18" s="10">
        <v>80</v>
      </c>
      <c r="H18" s="10">
        <v>103.46868190144048</v>
      </c>
      <c r="I18" s="10">
        <v>82.675146041518104</v>
      </c>
      <c r="J18" s="10">
        <v>60.509719918717295</v>
      </c>
      <c r="K18" s="10">
        <v>65.595478323792321</v>
      </c>
      <c r="L18" s="10">
        <v>65.952916359207734</v>
      </c>
      <c r="M18" s="10">
        <v>48.775508007587618</v>
      </c>
      <c r="N18" s="10">
        <f>SUM(B18:M18)</f>
        <v>1060.2793899059832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30">
        <v>6152.082852086849</v>
      </c>
      <c r="F19" s="30">
        <v>6133.039921128372</v>
      </c>
      <c r="G19" s="8">
        <v>6018.8392758629207</v>
      </c>
      <c r="H19" s="8">
        <v>6259.432599748352</v>
      </c>
      <c r="I19" s="8">
        <v>6259.7603408695495</v>
      </c>
      <c r="J19" s="8">
        <v>6374.9064664787247</v>
      </c>
      <c r="K19" s="8">
        <v>6404.4205699007098</v>
      </c>
      <c r="L19" s="8">
        <v>6235.632853432975</v>
      </c>
      <c r="M19" s="8">
        <v>6223.7752481068519</v>
      </c>
      <c r="N19" s="14">
        <f>SUMPRODUCT(B19:M19,$B$18:$M$18)/SUM($B$18:$M$18)</f>
        <v>6201.4105570226457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31">
        <v>0.64019198272624844</v>
      </c>
      <c r="F20" s="31">
        <v>0.77254238613409787</v>
      </c>
      <c r="G20" s="7">
        <v>0.798320431830981</v>
      </c>
      <c r="H20" s="7">
        <v>0.80275322422381945</v>
      </c>
      <c r="I20" s="7">
        <v>0.79618927540305862</v>
      </c>
      <c r="J20" s="7">
        <v>0.79960709449365663</v>
      </c>
      <c r="K20" s="7">
        <v>0.83275697534119686</v>
      </c>
      <c r="L20" s="7">
        <v>0.85461337832688211</v>
      </c>
      <c r="M20" s="7">
        <v>0.83967214002053092</v>
      </c>
      <c r="N20" s="15">
        <f t="shared" ref="N20:N23" si="8">SUMPRODUCT(B20:M20,$B$18:$M$18)/SUM($B$18:$M$18)</f>
        <v>0.73263215780468049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31">
        <v>7.9869977469019915</v>
      </c>
      <c r="F21" s="31">
        <v>8.4695030950674397</v>
      </c>
      <c r="G21" s="7">
        <v>9.2585939253455312</v>
      </c>
      <c r="H21" s="7">
        <v>8.4062057331963462</v>
      </c>
      <c r="I21" s="7">
        <v>8.1871295425891475</v>
      </c>
      <c r="J21" s="7">
        <v>8.127213195744357</v>
      </c>
      <c r="K21" s="7">
        <v>8.2097682577720974</v>
      </c>
      <c r="L21" s="7">
        <v>8.2591107997430839</v>
      </c>
      <c r="M21" s="7">
        <v>8.1430637167590127</v>
      </c>
      <c r="N21" s="15">
        <f t="shared" si="8"/>
        <v>8.3888048884650122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31">
        <v>9.2338941043935421</v>
      </c>
      <c r="F22" s="31">
        <v>8.7192876783736235</v>
      </c>
      <c r="G22" s="7">
        <v>8.4902139010610131</v>
      </c>
      <c r="H22" s="7">
        <v>8.1639926388328092</v>
      </c>
      <c r="I22" s="7">
        <v>7.7018818507087836</v>
      </c>
      <c r="J22" s="7">
        <v>7.1238158744048095</v>
      </c>
      <c r="K22" s="7">
        <v>7.1444558317349696</v>
      </c>
      <c r="L22" s="7">
        <v>7.073387470478087</v>
      </c>
      <c r="M22" s="7">
        <v>7.6542883191805942</v>
      </c>
      <c r="N22" s="15">
        <f t="shared" si="8"/>
        <v>8.348879160248611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31">
        <v>12.344041963950433</v>
      </c>
      <c r="F23" s="31">
        <v>12.370061640711539</v>
      </c>
      <c r="G23" s="7">
        <v>13.468984578018095</v>
      </c>
      <c r="H23" s="7">
        <v>13.189354957673388</v>
      </c>
      <c r="I23" s="7">
        <v>12.727244169549364</v>
      </c>
      <c r="J23" s="7">
        <v>12.149178193245387</v>
      </c>
      <c r="K23" s="7">
        <v>12.169818150575548</v>
      </c>
      <c r="L23" s="7">
        <v>12.098749789318665</v>
      </c>
      <c r="M23" s="7">
        <v>12.679650638021176</v>
      </c>
      <c r="N23" s="15">
        <f t="shared" si="8"/>
        <v>12.281377304638012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30.406220590963024</v>
      </c>
      <c r="F24" s="10">
        <v>42.823419506383615</v>
      </c>
      <c r="G24" s="10">
        <v>68.5</v>
      </c>
      <c r="H24" s="10">
        <v>71.531318102106994</v>
      </c>
      <c r="I24" s="10">
        <v>76.459121403282182</v>
      </c>
      <c r="J24" s="10">
        <v>69.49028008407771</v>
      </c>
      <c r="K24" s="10">
        <v>49.404521679002677</v>
      </c>
      <c r="L24" s="10">
        <v>49.047083643587264</v>
      </c>
      <c r="M24" s="10">
        <v>42.623577664234354</v>
      </c>
      <c r="N24" s="10">
        <f>SUM(B24:M24)</f>
        <v>669.72061009401682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30">
        <v>5928.2234409265629</v>
      </c>
      <c r="F25" s="30">
        <v>6043.0524561832999</v>
      </c>
      <c r="G25" s="8">
        <v>5829.9750723338448</v>
      </c>
      <c r="H25" s="8">
        <v>5962.1308007127254</v>
      </c>
      <c r="I25" s="8">
        <v>5928.4410894385146</v>
      </c>
      <c r="J25" s="8">
        <v>6005.5198212395453</v>
      </c>
      <c r="K25" s="8">
        <v>5894.1649028748798</v>
      </c>
      <c r="L25" s="8">
        <v>5910.5740203081423</v>
      </c>
      <c r="M25" s="8">
        <v>5803.4980014584507</v>
      </c>
      <c r="N25" s="14">
        <f>SUMPRODUCT(B25:M25,$B$24:$M$24)/SUM($B$24:$M$24)</f>
        <v>5934.9715693967128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31">
        <v>1.9301201688860021</v>
      </c>
      <c r="F26" s="31">
        <v>2.0257524309306989</v>
      </c>
      <c r="G26" s="7">
        <v>2.7517791253545676</v>
      </c>
      <c r="H26" s="7">
        <v>2.7609278934247246</v>
      </c>
      <c r="I26" s="7">
        <v>2.6985423211871908</v>
      </c>
      <c r="J26" s="7">
        <v>2.6091247654732062</v>
      </c>
      <c r="K26" s="7">
        <v>2.6713147126834249</v>
      </c>
      <c r="L26" s="7">
        <v>2.6349422802667357</v>
      </c>
      <c r="M26" s="7">
        <v>2.6741837686417749</v>
      </c>
      <c r="N26" s="15">
        <f t="shared" ref="N26:N28" si="9">SUMPRODUCT(B26:M26,$B$24:$M$24)/SUM($B$24:$M$24)</f>
        <v>2.4767988399808543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31">
        <v>12.152458590451443</v>
      </c>
      <c r="F27" s="31">
        <v>11.4907377681741</v>
      </c>
      <c r="G27" s="7">
        <v>14.10278539201021</v>
      </c>
      <c r="H27" s="7">
        <v>13.509719746036961</v>
      </c>
      <c r="I27" s="7">
        <v>14.370514408518146</v>
      </c>
      <c r="J27" s="7">
        <v>13.324646891323814</v>
      </c>
      <c r="K27" s="7">
        <v>14.771804222944612</v>
      </c>
      <c r="L27" s="7">
        <v>14.891747642867724</v>
      </c>
      <c r="M27" s="7">
        <v>15.987902893248354</v>
      </c>
      <c r="N27" s="15">
        <f t="shared" si="9"/>
        <v>13.384120785752403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31">
        <v>7.2613478402078595</v>
      </c>
      <c r="F28" s="31">
        <v>7.0928299120234612</v>
      </c>
      <c r="G28" s="7">
        <v>6.9884659458665785</v>
      </c>
      <c r="H28" s="7">
        <v>6.8342266733673309</v>
      </c>
      <c r="I28" s="7">
        <v>6.8425309975501785</v>
      </c>
      <c r="J28" s="7">
        <v>6.8309986931763298</v>
      </c>
      <c r="K28" s="7">
        <v>7.4057237488908347</v>
      </c>
      <c r="L28" s="7">
        <v>7.4333415018134001</v>
      </c>
      <c r="M28" s="7">
        <v>7.7595328692858603</v>
      </c>
      <c r="N28" s="15">
        <f t="shared" si="9"/>
        <v>7.1991640314386949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31">
        <v>11.64234599978348</v>
      </c>
      <c r="F29" s="31">
        <v>10.959217471832069</v>
      </c>
      <c r="G29" s="7">
        <v>11.441841887653268</v>
      </c>
      <c r="H29" s="7">
        <v>11.859588992207909</v>
      </c>
      <c r="I29" s="7">
        <v>11.867893316390759</v>
      </c>
      <c r="J29" s="7">
        <v>11.85636101201691</v>
      </c>
      <c r="K29" s="7">
        <v>12.431086067731412</v>
      </c>
      <c r="L29" s="7">
        <v>12.458703820653978</v>
      </c>
      <c r="M29" s="7">
        <v>12.784895188126441</v>
      </c>
      <c r="N29" s="15">
        <f>SUMPRODUCT(B29:M29,$B$24:$M$24)/SUM($B$24:$M$24)</f>
        <v>11.768987716387651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7.4826072386839222</v>
      </c>
      <c r="F30" s="10">
        <v>9.866701819108771</v>
      </c>
      <c r="G30" s="10">
        <v>5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40.347844008432851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30">
        <v>6060.3314911773823</v>
      </c>
      <c r="F31" s="30">
        <v>5981.1885803837649</v>
      </c>
      <c r="G31" s="8">
        <v>5806.2840856384864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5920.2577015353554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31">
        <v>0.91618025751072962</v>
      </c>
      <c r="F32" s="31">
        <v>0.86186580170410543</v>
      </c>
      <c r="G32" s="7">
        <v>0.96191016390196293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0">SUMPRODUCT(B32:M32,$B$30:$M$30)/SUM($B$30:$M$30)</f>
        <v>0.91061722307070192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31">
        <v>5.5176511900117049</v>
      </c>
      <c r="F33" s="31">
        <v>5.7561376839659175</v>
      </c>
      <c r="G33" s="7">
        <v>8.5334852459943917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0"/>
        <v>6.6932783583203808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31">
        <v>11.119527896995708</v>
      </c>
      <c r="F34" s="31">
        <v>11.717851471727343</v>
      </c>
      <c r="G34" s="7">
        <v>12.262000000000002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0"/>
        <v>11.361398656626843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31">
        <v>13.934471322668747</v>
      </c>
      <c r="F35" s="31">
        <v>14.518514717273431</v>
      </c>
      <c r="G35" s="7">
        <v>16.983742749444801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0"/>
        <v>14.708273841657883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41.321236306640401</v>
      </c>
      <c r="F36" s="10">
        <v>24.257871087413818</v>
      </c>
      <c r="G36" s="10">
        <v>30</v>
      </c>
      <c r="H36" s="10">
        <v>35.332550720173359</v>
      </c>
      <c r="I36" s="10">
        <v>30.006916404406894</v>
      </c>
      <c r="J36" s="10">
        <v>80.262722345353424</v>
      </c>
      <c r="K36" s="10">
        <v>88.158616970309041</v>
      </c>
      <c r="L36" s="10">
        <v>72.825823427436703</v>
      </c>
      <c r="M36" s="10">
        <v>60.655507480037357</v>
      </c>
      <c r="N36" s="10">
        <f>SUM(B36:M36)</f>
        <v>510.92024328431285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30">
        <v>5974.4203759867623</v>
      </c>
      <c r="F37" s="30">
        <v>6089.814788562283</v>
      </c>
      <c r="G37" s="8">
        <v>5925.7777755074185</v>
      </c>
      <c r="H37" s="8">
        <v>6020.8683585020317</v>
      </c>
      <c r="I37" s="8">
        <v>6014.9124936011876</v>
      </c>
      <c r="J37" s="8">
        <v>6007.8377665277994</v>
      </c>
      <c r="K37" s="8">
        <v>6000.1277667269169</v>
      </c>
      <c r="L37" s="8">
        <v>6040.304181287921</v>
      </c>
      <c r="M37" s="8">
        <v>6028.3845898776681</v>
      </c>
      <c r="N37" s="14">
        <f>SUMPRODUCT(B37:M37,$B$36:$M$36)/SUM($B$36:$M$36)</f>
        <v>6008.4366977603668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31">
        <v>1.4839949600810158</v>
      </c>
      <c r="F38" s="31">
        <v>1.5035755356017644</v>
      </c>
      <c r="G38" s="7">
        <v>1.5943279878175622</v>
      </c>
      <c r="H38" s="7">
        <v>1.5694494254547628</v>
      </c>
      <c r="I38" s="7">
        <v>1.5852908415588562</v>
      </c>
      <c r="J38" s="7">
        <v>1.574515939202813</v>
      </c>
      <c r="K38" s="7">
        <v>1.5677879045448619</v>
      </c>
      <c r="L38" s="7">
        <v>1.589354847627084</v>
      </c>
      <c r="M38" s="7">
        <v>1.5744013589557682</v>
      </c>
      <c r="N38" s="15">
        <f t="shared" ref="N38:N41" si="11">SUMPRODUCT(B38:M38,$B$36:$M$36)/SUM($B$36:$M$36)</f>
        <v>1.5530175497294592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31">
        <v>5.8970893290313464</v>
      </c>
      <c r="F39" s="31">
        <v>5.4006541430371771</v>
      </c>
      <c r="G39" s="7">
        <v>5.6494087402871518</v>
      </c>
      <c r="H39" s="7">
        <v>5.1963485537700951</v>
      </c>
      <c r="I39" s="7">
        <v>5.2259008042933157</v>
      </c>
      <c r="J39" s="7">
        <v>5.4473365769855926</v>
      </c>
      <c r="K39" s="7">
        <v>5.4652901297486336</v>
      </c>
      <c r="L39" s="7">
        <v>5.2152648912193147</v>
      </c>
      <c r="M39" s="7">
        <v>5.2839280128355917</v>
      </c>
      <c r="N39" s="15">
        <f t="shared" si="11"/>
        <v>5.4696626966010786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31">
        <v>12.148881561903865</v>
      </c>
      <c r="F40" s="31">
        <v>11.241298440453688</v>
      </c>
      <c r="G40" s="7">
        <v>10.901372043684765</v>
      </c>
      <c r="H40" s="7">
        <v>10.507448396157546</v>
      </c>
      <c r="I40" s="7">
        <v>10.479721442112663</v>
      </c>
      <c r="J40" s="7">
        <v>10.349522208548452</v>
      </c>
      <c r="K40" s="7">
        <v>10.246560361894511</v>
      </c>
      <c r="L40" s="7">
        <v>10.128646717159562</v>
      </c>
      <c r="M40" s="7">
        <v>9.9250832423946189</v>
      </c>
      <c r="N40" s="15">
        <f t="shared" si="11"/>
        <v>10.607408390582084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31">
        <v>14.144595511174961</v>
      </c>
      <c r="F41" s="31">
        <v>13.581214949590422</v>
      </c>
      <c r="G41" s="7">
        <v>16.005299795313508</v>
      </c>
      <c r="H41" s="7">
        <v>15.507448396157546</v>
      </c>
      <c r="I41" s="7">
        <v>15.479721442112661</v>
      </c>
      <c r="J41" s="7">
        <v>15.349522208548455</v>
      </c>
      <c r="K41" s="7">
        <v>15.246560361894508</v>
      </c>
      <c r="L41" s="7">
        <v>15.128646717159565</v>
      </c>
      <c r="M41" s="7">
        <v>14.925083242394619</v>
      </c>
      <c r="N41" s="15">
        <f t="shared" si="11"/>
        <v>15.011816603091953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362.6484099109108</v>
      </c>
      <c r="D42" s="10">
        <v>313.48100534658772</v>
      </c>
      <c r="E42" s="10">
        <v>329.77482085837693</v>
      </c>
      <c r="F42" s="10">
        <v>426.41003971261847</v>
      </c>
      <c r="G42" s="10">
        <v>396.5</v>
      </c>
      <c r="H42" s="10">
        <v>411.16744928939397</v>
      </c>
      <c r="I42" s="10">
        <v>470.85881616498278</v>
      </c>
      <c r="J42" s="10">
        <v>449.73727766604139</v>
      </c>
      <c r="K42" s="10">
        <v>416.09138304087088</v>
      </c>
      <c r="L42" s="10">
        <v>431.42417658374325</v>
      </c>
      <c r="M42" s="10">
        <v>393.38339827869584</v>
      </c>
      <c r="N42" s="10">
        <f>SUM(B42:M42)</f>
        <v>4789.7805437138668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30">
        <v>5980.6623548882908</v>
      </c>
      <c r="F43" s="30">
        <v>6016.1816433377553</v>
      </c>
      <c r="G43" s="8">
        <v>5841.7734751879771</v>
      </c>
      <c r="H43" s="8">
        <v>5902.4243527682665</v>
      </c>
      <c r="I43" s="8">
        <v>5889.9498833304242</v>
      </c>
      <c r="J43" s="8">
        <v>5919.1857986775476</v>
      </c>
      <c r="K43" s="8">
        <v>5910.7754296756775</v>
      </c>
      <c r="L43" s="8">
        <v>5937.6329693525331</v>
      </c>
      <c r="M43" s="8">
        <v>5909.4143402902582</v>
      </c>
      <c r="N43" s="14">
        <f>SUMPRODUCT(B43:M43,$B$42:$M$42)/SUM($B$42:$M$42)</f>
        <v>5938.8364361359336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2.2808085536365952</v>
      </c>
      <c r="D44" s="31">
        <v>2.3121792450411491</v>
      </c>
      <c r="E44" s="31">
        <v>2.3365918889488917</v>
      </c>
      <c r="F44" s="31">
        <v>2.2916821927383682</v>
      </c>
      <c r="G44" s="7">
        <v>2.3627082014657015</v>
      </c>
      <c r="H44" s="7">
        <v>2.4369501461902519</v>
      </c>
      <c r="I44" s="7">
        <v>2.4884280323734633</v>
      </c>
      <c r="J44" s="7">
        <v>2.4457913494562749</v>
      </c>
      <c r="K44" s="7">
        <v>2.4628206308561307</v>
      </c>
      <c r="L44" s="7">
        <v>2.3392975368139757</v>
      </c>
      <c r="M44" s="7">
        <v>2.430581292820313</v>
      </c>
      <c r="N44" s="15">
        <f t="shared" ref="N44:N47" si="12">SUMPRODUCT(B44:M44,$B$42:$M$42)/SUM($B$42:$M$42)</f>
        <v>2.3768627368917805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5.8860489423321738</v>
      </c>
      <c r="D45" s="31">
        <v>6.2336990191972967</v>
      </c>
      <c r="E45" s="31">
        <v>5.9769499898191363</v>
      </c>
      <c r="F45" s="31">
        <v>5.7339946364479575</v>
      </c>
      <c r="G45" s="7">
        <v>6.4602844698869264</v>
      </c>
      <c r="H45" s="7">
        <v>5.7059593849269277</v>
      </c>
      <c r="I45" s="7">
        <v>5.911513230639506</v>
      </c>
      <c r="J45" s="7">
        <v>5.6773927291084991</v>
      </c>
      <c r="K45" s="7">
        <v>5.7584922674703298</v>
      </c>
      <c r="L45" s="7">
        <v>5.6849019226676658</v>
      </c>
      <c r="M45" s="7">
        <v>5.689106322878299</v>
      </c>
      <c r="N45" s="15">
        <f t="shared" si="12"/>
        <v>5.8776539647712802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11.49045444178053</v>
      </c>
      <c r="D46" s="31">
        <v>11.114391420896254</v>
      </c>
      <c r="E46" s="31">
        <v>11.487336744660947</v>
      </c>
      <c r="F46" s="31">
        <v>11.507947758017322</v>
      </c>
      <c r="G46" s="7">
        <v>10.862644674183517</v>
      </c>
      <c r="H46" s="7">
        <v>10.628291855358745</v>
      </c>
      <c r="I46" s="7">
        <v>10.495897967893464</v>
      </c>
      <c r="J46" s="7">
        <v>10.450244595597265</v>
      </c>
      <c r="K46" s="7">
        <v>10.474404208983612</v>
      </c>
      <c r="L46" s="7">
        <v>10.475190782498458</v>
      </c>
      <c r="M46" s="7">
        <v>10.575851134237761</v>
      </c>
      <c r="N46" s="15">
        <f t="shared" si="12"/>
        <v>10.886211797702861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31">
        <v>13.4706462814673</v>
      </c>
      <c r="E47" s="31">
        <v>13.788683068188186</v>
      </c>
      <c r="F47" s="31">
        <v>13.727395840665105</v>
      </c>
      <c r="G47" s="7">
        <v>15.687760946451739</v>
      </c>
      <c r="H47" s="7">
        <v>15.628291855358745</v>
      </c>
      <c r="I47" s="7">
        <v>15.495897967893466</v>
      </c>
      <c r="J47" s="7">
        <v>15.450244595597264</v>
      </c>
      <c r="K47" s="7">
        <v>15.474404208983611</v>
      </c>
      <c r="L47" s="7">
        <v>15.475190782498458</v>
      </c>
      <c r="M47" s="7">
        <v>15.575851134237759</v>
      </c>
      <c r="N47" s="15">
        <f t="shared" si="12"/>
        <v>14.827370308966231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0.19186901460068298</v>
      </c>
      <c r="F48" s="10">
        <v>9.4999787856703509E-3</v>
      </c>
      <c r="G48" s="10">
        <v>4.25</v>
      </c>
      <c r="H48" s="10">
        <v>4.25</v>
      </c>
      <c r="I48" s="10">
        <v>4.25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63.951368993386353</v>
      </c>
      <c r="P48" s="10">
        <f>'Budget 2025'!N48</f>
        <v>127.5</v>
      </c>
    </row>
    <row r="49" spans="1:17" x14ac:dyDescent="0.35">
      <c r="A49" s="5" t="s">
        <v>60</v>
      </c>
      <c r="B49" s="30"/>
      <c r="C49" s="30"/>
      <c r="D49" s="30"/>
      <c r="E49" s="30">
        <v>3966.2693181818177</v>
      </c>
      <c r="F49" s="30">
        <v>4270.5018260671077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3148.6952474169179</v>
      </c>
      <c r="P49" s="8">
        <f>'Budget 2025'!N49</f>
        <v>3146.0674157303379</v>
      </c>
    </row>
    <row r="50" spans="1:17" x14ac:dyDescent="0.35">
      <c r="A50" s="5" t="s">
        <v>22</v>
      </c>
      <c r="B50" s="31"/>
      <c r="C50" s="31"/>
      <c r="D50" s="31"/>
      <c r="E50" s="31">
        <v>0.95</v>
      </c>
      <c r="F50" s="31">
        <v>1.2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3">SUMPRODUCT(B50:M50,$B$48:$M$48)/SUM($B$48:$M$48)</f>
        <v>1.9967309151993156</v>
      </c>
      <c r="P50" s="7">
        <f>'Budget 2025'!N50</f>
        <v>2</v>
      </c>
    </row>
    <row r="51" spans="1:17" x14ac:dyDescent="0.35">
      <c r="A51" s="5" t="s">
        <v>23</v>
      </c>
      <c r="B51" s="31"/>
      <c r="C51" s="31"/>
      <c r="D51" s="31"/>
      <c r="E51" s="31">
        <v>24.4</v>
      </c>
      <c r="F51" s="31">
        <v>21.1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3"/>
        <v>39.950388767640803</v>
      </c>
      <c r="P51" s="7">
        <f>'Budget 2025'!N51</f>
        <v>40</v>
      </c>
    </row>
    <row r="52" spans="1:17" x14ac:dyDescent="0.35">
      <c r="A52" s="5" t="s">
        <v>24</v>
      </c>
      <c r="B52" s="31"/>
      <c r="C52" s="31"/>
      <c r="D52" s="31"/>
      <c r="E52" s="31">
        <v>12</v>
      </c>
      <c r="F52" s="31">
        <v>12.38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3"/>
        <v>11.003205232171748</v>
      </c>
      <c r="P52" s="7">
        <f>'Budget 2025'!N52</f>
        <v>11</v>
      </c>
    </row>
    <row r="53" spans="1:17" x14ac:dyDescent="0.35">
      <c r="A53" s="5" t="s">
        <v>25</v>
      </c>
      <c r="B53" s="31"/>
      <c r="C53" s="31"/>
      <c r="D53" s="31"/>
      <c r="E53" s="31">
        <v>22.9</v>
      </c>
      <c r="F53" s="31">
        <v>20.37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3"/>
        <v>20.008755639532136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84</v>
      </c>
    </row>
    <row r="56" spans="1:17" s="2" customFormat="1" x14ac:dyDescent="0.35">
      <c r="A56" s="9" t="s">
        <v>14</v>
      </c>
      <c r="B56" s="10">
        <f t="shared" ref="B56:N56" si="14">SUM(B57:B59)</f>
        <v>3736.1073783000002</v>
      </c>
      <c r="C56" s="10">
        <f t="shared" si="14"/>
        <v>3365.8926857000001</v>
      </c>
      <c r="D56" s="10">
        <f t="shared" si="14"/>
        <v>3574.4766829</v>
      </c>
      <c r="E56" s="10">
        <f t="shared" si="14"/>
        <v>2859.5105236999998</v>
      </c>
      <c r="F56" s="10">
        <f t="shared" si="14"/>
        <v>3323.9622126902514</v>
      </c>
      <c r="G56" s="10">
        <f t="shared" si="14"/>
        <v>4260</v>
      </c>
      <c r="H56" s="10">
        <f t="shared" si="14"/>
        <v>4515</v>
      </c>
      <c r="I56" s="10">
        <f t="shared" si="14"/>
        <v>4710</v>
      </c>
      <c r="J56" s="10">
        <f t="shared" si="14"/>
        <v>4535</v>
      </c>
      <c r="K56" s="10">
        <f t="shared" si="14"/>
        <v>4130.3758692097508</v>
      </c>
      <c r="L56" s="10">
        <f t="shared" si="14"/>
        <v>3945</v>
      </c>
      <c r="M56" s="10">
        <f t="shared" si="14"/>
        <v>3944.6746475</v>
      </c>
      <c r="N56" s="10">
        <f t="shared" si="14"/>
        <v>46900</v>
      </c>
      <c r="P56" s="10">
        <f>'Budget 2025'!N56</f>
        <v>51650</v>
      </c>
      <c r="Q56" s="27">
        <f>N56/P56</f>
        <v>0.90803484995159733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30">
        <v>1083.7445134</v>
      </c>
      <c r="F57" s="30">
        <v>1489.2826008000002</v>
      </c>
      <c r="G57" s="8">
        <v>2400</v>
      </c>
      <c r="H57" s="8">
        <v>2660</v>
      </c>
      <c r="I57" s="8">
        <v>2755</v>
      </c>
      <c r="J57" s="8">
        <v>2745</v>
      </c>
      <c r="K57" s="8">
        <v>2555</v>
      </c>
      <c r="L57" s="8">
        <v>2520</v>
      </c>
      <c r="M57" s="8">
        <v>2516.3716586000028</v>
      </c>
      <c r="N57" s="8">
        <f t="shared" ref="N57:N59" si="15">SUM(B57:M57)</f>
        <v>24400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30">
        <v>747.55617540000003</v>
      </c>
      <c r="F58" s="30">
        <v>747.65213079025102</v>
      </c>
      <c r="G58" s="8">
        <v>960</v>
      </c>
      <c r="H58" s="8">
        <v>1000</v>
      </c>
      <c r="I58" s="8">
        <v>1050</v>
      </c>
      <c r="J58" s="8">
        <v>950</v>
      </c>
      <c r="K58" s="8">
        <v>900.37586920975082</v>
      </c>
      <c r="L58" s="8">
        <v>830</v>
      </c>
      <c r="M58" s="8">
        <v>858.69739499999901</v>
      </c>
      <c r="N58" s="8">
        <f t="shared" si="15"/>
        <v>11000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30">
        <v>1028.2098349</v>
      </c>
      <c r="F59" s="30">
        <v>1087.0274810999999</v>
      </c>
      <c r="G59" s="8">
        <v>900</v>
      </c>
      <c r="H59" s="8">
        <v>855</v>
      </c>
      <c r="I59" s="8">
        <v>905</v>
      </c>
      <c r="J59" s="8">
        <v>840</v>
      </c>
      <c r="K59" s="8">
        <v>675</v>
      </c>
      <c r="L59" s="8">
        <v>595</v>
      </c>
      <c r="M59" s="8">
        <v>569.60559389999798</v>
      </c>
      <c r="N59" s="8">
        <f t="shared" si="15"/>
        <v>11499.999999999998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6">SUM(C61:C64)</f>
        <v>200.75357796750075</v>
      </c>
      <c r="D60" s="10">
        <f t="shared" si="16"/>
        <v>248.68881130000003</v>
      </c>
      <c r="E60" s="10">
        <f t="shared" si="16"/>
        <v>198.20231918502608</v>
      </c>
      <c r="F60" s="10">
        <f t="shared" si="16"/>
        <v>259.78555720438169</v>
      </c>
      <c r="G60" s="10">
        <f t="shared" si="16"/>
        <v>275</v>
      </c>
      <c r="H60" s="10">
        <f t="shared" si="16"/>
        <v>330</v>
      </c>
      <c r="I60" s="10">
        <f t="shared" si="16"/>
        <v>365</v>
      </c>
      <c r="J60" s="10">
        <f t="shared" si="16"/>
        <v>365</v>
      </c>
      <c r="K60" s="10">
        <f t="shared" si="16"/>
        <v>355</v>
      </c>
      <c r="L60" s="10">
        <f t="shared" si="16"/>
        <v>345</v>
      </c>
      <c r="M60" s="10">
        <f t="shared" si="16"/>
        <v>325.28529295441905</v>
      </c>
      <c r="N60" s="10">
        <f>SUM(B60:M60)</f>
        <v>3465</v>
      </c>
      <c r="P60" s="10">
        <f>'Budget 2025'!N60</f>
        <v>3300.3869731644691</v>
      </c>
      <c r="Q60" s="27">
        <f>N60/P60</f>
        <v>1.0498768866117834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30">
        <v>128.78624000000002</v>
      </c>
      <c r="F61" s="30">
        <v>159.75186000000011</v>
      </c>
      <c r="G61" s="8">
        <v>175</v>
      </c>
      <c r="H61" s="8">
        <v>195</v>
      </c>
      <c r="I61" s="8">
        <v>215</v>
      </c>
      <c r="J61" s="8">
        <v>215</v>
      </c>
      <c r="K61" s="8">
        <v>215</v>
      </c>
      <c r="L61" s="8">
        <v>210</v>
      </c>
      <c r="M61" s="8">
        <v>205.68717999999947</v>
      </c>
      <c r="N61" s="8">
        <f t="shared" ref="N61:N64" si="17">SUM(B61:M61)</f>
        <v>2129.9999999999995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30">
        <v>29.665050000000001</v>
      </c>
      <c r="F62" s="30">
        <v>37.020569999999999</v>
      </c>
      <c r="G62" s="8">
        <v>45</v>
      </c>
      <c r="H62" s="8">
        <v>55</v>
      </c>
      <c r="I62" s="8">
        <v>55</v>
      </c>
      <c r="J62" s="8">
        <v>60</v>
      </c>
      <c r="K62" s="8">
        <v>55</v>
      </c>
      <c r="L62" s="8">
        <v>55</v>
      </c>
      <c r="M62" s="8">
        <v>50.100340000000003</v>
      </c>
      <c r="N62" s="8">
        <f t="shared" si="17"/>
        <v>550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39.361681300000001</v>
      </c>
      <c r="E63" s="30">
        <v>35.601389185026051</v>
      </c>
      <c r="F63" s="30">
        <v>60.018567204381597</v>
      </c>
      <c r="G63" s="8">
        <v>55</v>
      </c>
      <c r="H63" s="8">
        <v>80</v>
      </c>
      <c r="I63" s="8">
        <v>95</v>
      </c>
      <c r="J63" s="8">
        <v>90</v>
      </c>
      <c r="K63" s="8">
        <v>85</v>
      </c>
      <c r="L63" s="8">
        <v>80</v>
      </c>
      <c r="M63" s="8">
        <v>69.497772954419588</v>
      </c>
      <c r="N63" s="8">
        <f t="shared" si="17"/>
        <v>773.50754000000029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30">
        <v>4.1496400000000007</v>
      </c>
      <c r="F64" s="30">
        <v>2.9945599999999999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f t="shared" si="17"/>
        <v>11.492459999999999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8">C56/C60</f>
        <v>16.766289895191267</v>
      </c>
      <c r="D65" s="11">
        <f t="shared" si="18"/>
        <v>14.373291119189163</v>
      </c>
      <c r="E65" s="11">
        <f t="shared" si="18"/>
        <v>14.427230394971241</v>
      </c>
      <c r="F65" s="11">
        <f t="shared" si="18"/>
        <v>12.795023127768349</v>
      </c>
      <c r="G65" s="11">
        <f t="shared" si="18"/>
        <v>15.49090909090909</v>
      </c>
      <c r="H65" s="11">
        <f t="shared" si="18"/>
        <v>13.681818181818182</v>
      </c>
      <c r="I65" s="11">
        <f t="shared" si="18"/>
        <v>12.904109589041095</v>
      </c>
      <c r="J65" s="11">
        <f t="shared" si="18"/>
        <v>12.424657534246576</v>
      </c>
      <c r="K65" s="11">
        <f t="shared" si="18"/>
        <v>11.634861603407749</v>
      </c>
      <c r="L65" s="11">
        <f t="shared" si="18"/>
        <v>11.434782608695652</v>
      </c>
      <c r="M65" s="11">
        <f t="shared" si="18"/>
        <v>12.126815238624243</v>
      </c>
      <c r="N65" s="11">
        <f t="shared" si="18"/>
        <v>13.535353535353535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19">SUM(B67:B68)</f>
        <v>236.94320000000002</v>
      </c>
      <c r="C66" s="10">
        <f t="shared" si="19"/>
        <v>220.64958999999999</v>
      </c>
      <c r="D66" s="10">
        <f t="shared" si="19"/>
        <v>280.32180000000005</v>
      </c>
      <c r="E66" s="10">
        <f t="shared" si="19"/>
        <v>200.31362000000001</v>
      </c>
      <c r="F66" s="10">
        <f t="shared" si="19"/>
        <v>238.30634000000001</v>
      </c>
      <c r="G66" s="10">
        <f t="shared" si="19"/>
        <v>295</v>
      </c>
      <c r="H66" s="10">
        <f t="shared" si="19"/>
        <v>330</v>
      </c>
      <c r="I66" s="10">
        <f t="shared" si="19"/>
        <v>330</v>
      </c>
      <c r="J66" s="10">
        <f t="shared" si="19"/>
        <v>325</v>
      </c>
      <c r="K66" s="10">
        <f t="shared" si="19"/>
        <v>325</v>
      </c>
      <c r="L66" s="10">
        <f t="shared" si="19"/>
        <v>320</v>
      </c>
      <c r="M66" s="10">
        <f t="shared" si="19"/>
        <v>298.46544999999969</v>
      </c>
      <c r="N66" s="10">
        <f t="shared" si="19"/>
        <v>3400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143.77029000000002</v>
      </c>
      <c r="E67" s="30">
        <v>110.81858</v>
      </c>
      <c r="F67" s="30">
        <v>152.73346000000001</v>
      </c>
      <c r="G67" s="8">
        <v>120</v>
      </c>
      <c r="H67" s="8">
        <v>180</v>
      </c>
      <c r="I67" s="8">
        <v>180</v>
      </c>
      <c r="J67" s="8">
        <v>175</v>
      </c>
      <c r="K67" s="8">
        <v>170</v>
      </c>
      <c r="L67" s="8">
        <v>165</v>
      </c>
      <c r="M67" s="8">
        <v>178.52025999999972</v>
      </c>
      <c r="N67" s="8">
        <f t="shared" ref="N67:N72" si="20">SUM(B67:M67)</f>
        <v>1870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30">
        <v>89.495040000000003</v>
      </c>
      <c r="F68" s="30">
        <v>85.572879999999998</v>
      </c>
      <c r="G68" s="8">
        <v>175</v>
      </c>
      <c r="H68" s="8">
        <v>150</v>
      </c>
      <c r="I68" s="8">
        <v>150</v>
      </c>
      <c r="J68" s="8">
        <v>150</v>
      </c>
      <c r="K68" s="8">
        <v>155</v>
      </c>
      <c r="L68" s="8">
        <v>155</v>
      </c>
      <c r="M68" s="8">
        <v>119.94519</v>
      </c>
      <c r="N68" s="8">
        <f t="shared" si="20"/>
        <v>1530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0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1">C71+C72</f>
        <v>53.497250000000001</v>
      </c>
      <c r="D70" s="10">
        <f t="shared" si="21"/>
        <v>58.810299999999984</v>
      </c>
      <c r="E70" s="10">
        <f t="shared" si="21"/>
        <v>75.263139999999993</v>
      </c>
      <c r="F70" s="10">
        <f t="shared" si="21"/>
        <v>125.39815</v>
      </c>
      <c r="G70" s="10">
        <f t="shared" si="21"/>
        <v>94.756160000000008</v>
      </c>
      <c r="H70" s="10">
        <f t="shared" si="21"/>
        <v>83.146400000000028</v>
      </c>
      <c r="I70" s="10">
        <f t="shared" si="21"/>
        <v>58.183650000000014</v>
      </c>
      <c r="J70" s="10">
        <f t="shared" si="21"/>
        <v>37.139549999999993</v>
      </c>
      <c r="K70" s="10">
        <f t="shared" si="21"/>
        <v>68.754850000000019</v>
      </c>
      <c r="L70" s="10">
        <f t="shared" si="21"/>
        <v>52.997440000000012</v>
      </c>
      <c r="M70" s="10">
        <f t="shared" si="21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2">C86</f>
        <v>40.527500000000003</v>
      </c>
      <c r="D71" s="30">
        <f t="shared" si="22"/>
        <v>51.952449999999985</v>
      </c>
      <c r="E71" s="30">
        <f t="shared" si="22"/>
        <v>50.126389999999994</v>
      </c>
      <c r="F71" s="30">
        <f t="shared" si="22"/>
        <v>109.9789</v>
      </c>
      <c r="G71" s="8">
        <f t="shared" si="22"/>
        <v>87.843810000000005</v>
      </c>
      <c r="H71" s="8">
        <f t="shared" si="22"/>
        <v>83.146400000000028</v>
      </c>
      <c r="I71" s="8">
        <f t="shared" si="22"/>
        <v>58.183650000000014</v>
      </c>
      <c r="J71" s="8">
        <f t="shared" si="22"/>
        <v>37.139549999999993</v>
      </c>
      <c r="K71" s="8">
        <f t="shared" si="22"/>
        <v>60.314450000000015</v>
      </c>
      <c r="L71" s="8">
        <f t="shared" si="22"/>
        <v>52.997440000000012</v>
      </c>
      <c r="M71" s="8">
        <f t="shared" si="22"/>
        <v>45</v>
      </c>
      <c r="N71" s="8">
        <f t="shared" si="20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3">C92</f>
        <v>12.969749999999998</v>
      </c>
      <c r="D72" s="30">
        <f t="shared" si="23"/>
        <v>6.85785</v>
      </c>
      <c r="E72" s="30">
        <f t="shared" si="23"/>
        <v>25.136750000000003</v>
      </c>
      <c r="F72" s="30">
        <f t="shared" si="23"/>
        <v>15.41925</v>
      </c>
      <c r="G72" s="8">
        <f t="shared" si="23"/>
        <v>6.91235</v>
      </c>
      <c r="H72" s="8">
        <f t="shared" si="23"/>
        <v>0</v>
      </c>
      <c r="I72" s="8">
        <f t="shared" si="23"/>
        <v>0</v>
      </c>
      <c r="J72" s="8">
        <f t="shared" si="23"/>
        <v>0</v>
      </c>
      <c r="K72" s="8">
        <f t="shared" si="23"/>
        <v>8.4404000000000003</v>
      </c>
      <c r="L72" s="8">
        <f t="shared" si="23"/>
        <v>0</v>
      </c>
      <c r="M72" s="8">
        <f t="shared" si="23"/>
        <v>10</v>
      </c>
      <c r="N72" s="8">
        <f t="shared" si="20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4">B56/B66</f>
        <v>15.767945137484427</v>
      </c>
      <c r="C73" s="11">
        <f t="shared" si="24"/>
        <v>15.254470609711989</v>
      </c>
      <c r="D73" s="11">
        <f t="shared" si="24"/>
        <v>12.751333228097135</v>
      </c>
      <c r="E73" s="11">
        <f t="shared" si="24"/>
        <v>14.275167727985744</v>
      </c>
      <c r="F73" s="11">
        <f t="shared" si="24"/>
        <v>13.948274362697406</v>
      </c>
      <c r="G73" s="11">
        <f t="shared" si="24"/>
        <v>14.440677966101696</v>
      </c>
      <c r="H73" s="11">
        <f t="shared" si="24"/>
        <v>13.681818181818182</v>
      </c>
      <c r="I73" s="11">
        <f t="shared" si="24"/>
        <v>14.272727272727273</v>
      </c>
      <c r="J73" s="11">
        <f t="shared" si="24"/>
        <v>13.953846153846154</v>
      </c>
      <c r="K73" s="11">
        <f t="shared" si="24"/>
        <v>12.708848828337695</v>
      </c>
      <c r="L73" s="11">
        <f t="shared" si="24"/>
        <v>12.328125</v>
      </c>
      <c r="M73" s="11">
        <f t="shared" si="24"/>
        <v>13.216520195218589</v>
      </c>
      <c r="N73" s="11">
        <f t="shared" si="24"/>
        <v>13.794117647058824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143.77029000000002</v>
      </c>
      <c r="E74" s="10">
        <v>110.81858</v>
      </c>
      <c r="F74" s="10">
        <v>152.73346000000001</v>
      </c>
      <c r="G74" s="10">
        <v>120</v>
      </c>
      <c r="H74" s="10">
        <v>180</v>
      </c>
      <c r="I74" s="10">
        <v>180</v>
      </c>
      <c r="J74" s="10">
        <v>175</v>
      </c>
      <c r="K74" s="10">
        <v>170</v>
      </c>
      <c r="L74" s="10">
        <v>165</v>
      </c>
      <c r="M74" s="10">
        <v>178.52025999999972</v>
      </c>
      <c r="N74" s="10">
        <f>SUM(B74:M74)</f>
        <v>1870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30">
        <v>6621.4348514888561</v>
      </c>
      <c r="F75" s="30">
        <v>6741.0993359946833</v>
      </c>
      <c r="G75" s="8">
        <v>6576.1942665811821</v>
      </c>
      <c r="H75" s="8">
        <v>6558.3349629382474</v>
      </c>
      <c r="I75" s="8">
        <v>6519.8478283761024</v>
      </c>
      <c r="J75" s="8">
        <v>6531.4057281533987</v>
      </c>
      <c r="K75" s="8">
        <v>6486.6354527869971</v>
      </c>
      <c r="L75" s="8">
        <v>6423.3524039983149</v>
      </c>
      <c r="M75" s="8">
        <v>6445.0270390160313</v>
      </c>
      <c r="N75" s="8">
        <f>SUMPRODUCT(B75:M75,$B$74:$M$74)/SUM($B$74:$M$74)</f>
        <v>6561.741874798513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31">
        <v>0.69370662734212352</v>
      </c>
      <c r="F76" s="31">
        <v>0.70929892880322509</v>
      </c>
      <c r="G76" s="7">
        <v>0.75413115872165604</v>
      </c>
      <c r="H76" s="7">
        <v>0.73756024252584795</v>
      </c>
      <c r="I76" s="7">
        <v>0.73179510613106202</v>
      </c>
      <c r="J76" s="7">
        <v>0.73545494441292003</v>
      </c>
      <c r="K76" s="7">
        <v>0.72483200344946996</v>
      </c>
      <c r="L76" s="7">
        <v>0.70101770126826002</v>
      </c>
      <c r="M76" s="7">
        <v>0.68338888489378702</v>
      </c>
      <c r="N76" s="7">
        <f t="shared" ref="N76:N79" si="25">SUMPRODUCT(B76:M76,$B$74:$M$74)/SUM($B$74:$M$74)</f>
        <v>0.70918744850529214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31">
        <v>4.7703819396252607</v>
      </c>
      <c r="F77" s="31">
        <v>3.7542016636596935</v>
      </c>
      <c r="G77" s="7">
        <v>5.3935220505282899</v>
      </c>
      <c r="H77" s="7">
        <v>4.8846291515136704</v>
      </c>
      <c r="I77" s="7">
        <v>4.6778226159461997</v>
      </c>
      <c r="J77" s="7">
        <v>4.77942324578843</v>
      </c>
      <c r="K77" s="7">
        <v>4.5613036233706401</v>
      </c>
      <c r="L77" s="7">
        <v>4.5232359849935699</v>
      </c>
      <c r="M77" s="7">
        <v>4.6709245488641997</v>
      </c>
      <c r="N77" s="7">
        <f t="shared" si="25"/>
        <v>4.5218282435755333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31">
        <v>6.8812413254684266</v>
      </c>
      <c r="F78" s="31">
        <v>6.8541574820028233</v>
      </c>
      <c r="G78" s="7">
        <v>7.0000991983486003</v>
      </c>
      <c r="H78" s="7">
        <v>7.4116985681574903</v>
      </c>
      <c r="I78" s="7">
        <v>8.0403961677576099</v>
      </c>
      <c r="J78" s="7">
        <v>8.1936345032725697</v>
      </c>
      <c r="K78" s="7">
        <v>7.90460671207068</v>
      </c>
      <c r="L78" s="7">
        <v>8.0911326532853192</v>
      </c>
      <c r="M78" s="7">
        <v>7.4805713822146203</v>
      </c>
      <c r="N78" s="7">
        <f t="shared" si="25"/>
        <v>7.4693242342181971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31">
        <v>11.342955586398332</v>
      </c>
      <c r="F79" s="31">
        <v>11.0393102421655</v>
      </c>
      <c r="G79" s="7">
        <v>11.757425850253499</v>
      </c>
      <c r="H79" s="7">
        <v>11.4839948187793</v>
      </c>
      <c r="I79" s="7">
        <v>11.6138360509128</v>
      </c>
      <c r="J79" s="7">
        <v>11.783830683188601</v>
      </c>
      <c r="K79" s="7">
        <v>12.473803262285999</v>
      </c>
      <c r="L79" s="7">
        <v>12.7911958370495</v>
      </c>
      <c r="M79" s="7">
        <v>12.9552040104938</v>
      </c>
      <c r="N79" s="7">
        <f t="shared" si="25"/>
        <v>11.934377737992254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89.495040000000003</v>
      </c>
      <c r="F80" s="10">
        <v>85.572879999999998</v>
      </c>
      <c r="G80" s="10">
        <v>175</v>
      </c>
      <c r="H80" s="10">
        <v>150</v>
      </c>
      <c r="I80" s="10">
        <v>150</v>
      </c>
      <c r="J80" s="10">
        <v>150</v>
      </c>
      <c r="K80" s="10">
        <v>155</v>
      </c>
      <c r="L80" s="10">
        <v>155</v>
      </c>
      <c r="M80" s="10">
        <v>119.94519</v>
      </c>
      <c r="N80" s="10">
        <f>SUM(B80:M80)</f>
        <v>1530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30">
        <v>6514.9911242548424</v>
      </c>
      <c r="F81" s="30">
        <v>6575.136370974933</v>
      </c>
      <c r="G81" s="8">
        <v>6415.2736931793943</v>
      </c>
      <c r="H81" s="8">
        <v>6476.7090798944764</v>
      </c>
      <c r="I81" s="8">
        <v>6459.1078693434929</v>
      </c>
      <c r="J81" s="8">
        <v>6419.4430057108129</v>
      </c>
      <c r="K81" s="8">
        <v>6452.6361865725303</v>
      </c>
      <c r="L81" s="8">
        <v>6437.948217328687</v>
      </c>
      <c r="M81" s="8">
        <v>6466.3224008600355</v>
      </c>
      <c r="N81" s="8">
        <f>SUMPRODUCT(B81:M81,$B$80:$M$80)/SUM($B$80:$M$80)</f>
        <v>6476.5693429406319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31">
        <v>1.6141192103264999</v>
      </c>
      <c r="F82" s="31">
        <v>1.5957798135784826</v>
      </c>
      <c r="G82" s="7">
        <v>1.68913432774099</v>
      </c>
      <c r="H82" s="7">
        <v>1.6892617149145801</v>
      </c>
      <c r="I82" s="7">
        <v>1.68634768787851</v>
      </c>
      <c r="J82" s="7">
        <v>1.69132061930429</v>
      </c>
      <c r="K82" s="7">
        <v>1.63814020591228</v>
      </c>
      <c r="L82" s="7">
        <v>1.68192320705785</v>
      </c>
      <c r="M82" s="7">
        <v>1.6732036413553399</v>
      </c>
      <c r="N82" s="7">
        <f t="shared" ref="N82:N85" si="26">SUMPRODUCT(B82:M82,$B$80:$M$80)/SUM($B$80:$M$80)</f>
        <v>1.6494573134978758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31">
        <v>5.3340234043503516</v>
      </c>
      <c r="F83" s="31">
        <v>5.1497909690079569</v>
      </c>
      <c r="G83" s="7">
        <v>5.18429729176097</v>
      </c>
      <c r="H83" s="7">
        <v>5.2987252390792001</v>
      </c>
      <c r="I83" s="7">
        <v>6.2628772332804798</v>
      </c>
      <c r="J83" s="7">
        <v>5.6435092569048004</v>
      </c>
      <c r="K83" s="7">
        <v>5.8659220405436097</v>
      </c>
      <c r="L83" s="7">
        <v>5.5826589569820602</v>
      </c>
      <c r="M83" s="7">
        <v>6.2930432116756698</v>
      </c>
      <c r="N83" s="7">
        <f t="shared" si="26"/>
        <v>5.3680297965155557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31">
        <v>6.5208039662334185</v>
      </c>
      <c r="F84" s="31">
        <v>6.2532880788345446</v>
      </c>
      <c r="G84" s="7">
        <v>6.7986514891508696</v>
      </c>
      <c r="H84" s="7">
        <v>6.8485254571085097</v>
      </c>
      <c r="I84" s="7">
        <v>6.75571740819366</v>
      </c>
      <c r="J84" s="7">
        <v>6.7068822436723696</v>
      </c>
      <c r="K84" s="7">
        <v>6.9300556776879096</v>
      </c>
      <c r="L84" s="7">
        <v>6.4189482466266501</v>
      </c>
      <c r="M84" s="7">
        <v>6.7865499727859202</v>
      </c>
      <c r="N84" s="7">
        <f t="shared" si="26"/>
        <v>6.6432931525197754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31">
        <v>12.110349167001655</v>
      </c>
      <c r="F85" s="31">
        <v>11.286190516818465</v>
      </c>
      <c r="G85" s="7">
        <v>11.8390700607924</v>
      </c>
      <c r="H85" s="7">
        <v>11.078336291509</v>
      </c>
      <c r="I85" s="7">
        <v>11.217095699782901</v>
      </c>
      <c r="J85" s="7">
        <v>11.408196186377101</v>
      </c>
      <c r="K85" s="7">
        <v>11.1085665709354</v>
      </c>
      <c r="L85" s="7">
        <v>11.264336191869001</v>
      </c>
      <c r="M85" s="7">
        <v>11.1272985694292</v>
      </c>
      <c r="N85" s="7">
        <f t="shared" si="26"/>
        <v>11.356685016250786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7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7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7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7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8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8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8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8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84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29">SUM(C101:C103)</f>
        <v>6674.4387483499995</v>
      </c>
      <c r="D100" s="10">
        <f t="shared" si="29"/>
        <v>7334.0009450000007</v>
      </c>
      <c r="E100" s="10">
        <f t="shared" si="29"/>
        <v>6431.8589449999999</v>
      </c>
      <c r="F100" s="10">
        <f t="shared" si="29"/>
        <v>7155.0962639999998</v>
      </c>
      <c r="G100" s="10">
        <f t="shared" si="29"/>
        <v>7938</v>
      </c>
      <c r="H100" s="10">
        <f t="shared" si="29"/>
        <v>8785.9726699999992</v>
      </c>
      <c r="I100" s="10">
        <f t="shared" si="29"/>
        <v>8405</v>
      </c>
      <c r="J100" s="10">
        <f t="shared" si="29"/>
        <v>8345</v>
      </c>
      <c r="K100" s="10">
        <f t="shared" si="29"/>
        <v>8060</v>
      </c>
      <c r="L100" s="10">
        <f t="shared" si="29"/>
        <v>7140</v>
      </c>
      <c r="M100" s="10">
        <f t="shared" si="29"/>
        <v>6939.8189926499908</v>
      </c>
      <c r="N100" s="10">
        <f t="shared" si="29"/>
        <v>90949.999649999983</v>
      </c>
      <c r="P100" s="10">
        <f>'Budget 2025'!N105</f>
        <v>90950</v>
      </c>
      <c r="Q100" s="27">
        <f>N100/P100</f>
        <v>0.99999999615173152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30">
        <v>1926.5002199999999</v>
      </c>
      <c r="F101" s="30">
        <v>1498.8407709999999</v>
      </c>
      <c r="G101" s="8">
        <v>1574</v>
      </c>
      <c r="H101" s="8">
        <v>2065.9726700000001</v>
      </c>
      <c r="I101" s="8">
        <v>1985</v>
      </c>
      <c r="J101" s="8">
        <v>1945</v>
      </c>
      <c r="K101" s="8">
        <v>1925</v>
      </c>
      <c r="L101" s="8">
        <v>1870</v>
      </c>
      <c r="M101" s="8">
        <v>1791.4684040000006</v>
      </c>
      <c r="N101" s="8">
        <f>SUM(B101:M101)</f>
        <v>21199.999649999998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30">
        <v>3301.2629649999999</v>
      </c>
      <c r="F102" s="30">
        <v>4117.1198409999997</v>
      </c>
      <c r="G102" s="8">
        <v>4850</v>
      </c>
      <c r="H102" s="8">
        <v>5220</v>
      </c>
      <c r="I102" s="8">
        <v>5320</v>
      </c>
      <c r="J102" s="8">
        <v>5300</v>
      </c>
      <c r="K102" s="8">
        <v>5050</v>
      </c>
      <c r="L102" s="8">
        <v>4340</v>
      </c>
      <c r="M102" s="8">
        <v>4354.1189306499909</v>
      </c>
      <c r="N102" s="8">
        <f t="shared" ref="N102:N103" si="30">SUM(B102:M102)</f>
        <v>52999.999999999985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30">
        <v>1204.0957599999999</v>
      </c>
      <c r="F103" s="30">
        <v>1539.1356519999999</v>
      </c>
      <c r="G103" s="8">
        <v>1514</v>
      </c>
      <c r="H103" s="8">
        <v>1500</v>
      </c>
      <c r="I103" s="8">
        <v>1100</v>
      </c>
      <c r="J103" s="8">
        <v>1100</v>
      </c>
      <c r="K103" s="8">
        <v>1085</v>
      </c>
      <c r="L103" s="8">
        <v>930</v>
      </c>
      <c r="M103" s="8">
        <v>794.23165799999913</v>
      </c>
      <c r="N103" s="8">
        <f t="shared" si="30"/>
        <v>16750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1">SUM(B105:B107)</f>
        <v>737.08651599999996</v>
      </c>
      <c r="C104" s="10">
        <f t="shared" si="31"/>
        <v>743.29978599999993</v>
      </c>
      <c r="D104" s="10">
        <f t="shared" si="31"/>
        <v>904.27686199999994</v>
      </c>
      <c r="E104" s="10">
        <f t="shared" si="31"/>
        <v>705.02388599999995</v>
      </c>
      <c r="F104" s="10">
        <f t="shared" si="31"/>
        <v>817.68324000000007</v>
      </c>
      <c r="G104" s="10">
        <f t="shared" si="31"/>
        <v>760</v>
      </c>
      <c r="H104" s="10">
        <f t="shared" si="31"/>
        <v>670</v>
      </c>
      <c r="I104" s="10">
        <f t="shared" si="31"/>
        <v>660</v>
      </c>
      <c r="J104" s="10">
        <f t="shared" si="31"/>
        <v>615</v>
      </c>
      <c r="K104" s="10">
        <f t="shared" si="31"/>
        <v>570</v>
      </c>
      <c r="L104" s="10">
        <f t="shared" si="31"/>
        <v>535</v>
      </c>
      <c r="M104" s="10">
        <f t="shared" si="31"/>
        <v>532.62971000000039</v>
      </c>
      <c r="N104" s="10">
        <f t="shared" si="31"/>
        <v>8250</v>
      </c>
      <c r="P104" s="10">
        <f>'Budget 2025'!N109</f>
        <v>8000</v>
      </c>
      <c r="Q104" s="27">
        <f>N104/P104</f>
        <v>1.03125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30">
        <v>238.84664000000004</v>
      </c>
      <c r="F105" s="30">
        <v>276.47867000000002</v>
      </c>
      <c r="G105" s="8">
        <v>243</v>
      </c>
      <c r="H105" s="8">
        <v>140</v>
      </c>
      <c r="I105" s="8">
        <v>120</v>
      </c>
      <c r="J105" s="8">
        <v>110</v>
      </c>
      <c r="K105" s="8">
        <v>110</v>
      </c>
      <c r="L105" s="8">
        <v>110</v>
      </c>
      <c r="M105" s="8">
        <v>99.360276000000283</v>
      </c>
      <c r="N105" s="8">
        <f>SUM(B105:M105)</f>
        <v>2100.0000000000005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30">
        <v>215.22142599999995</v>
      </c>
      <c r="F106" s="30">
        <v>277.18131</v>
      </c>
      <c r="G106" s="8">
        <v>347</v>
      </c>
      <c r="H106" s="8">
        <v>470</v>
      </c>
      <c r="I106" s="8">
        <v>480</v>
      </c>
      <c r="J106" s="8">
        <v>453</v>
      </c>
      <c r="K106" s="8">
        <v>410</v>
      </c>
      <c r="L106" s="8">
        <v>365</v>
      </c>
      <c r="M106" s="8">
        <v>387.08354200000002</v>
      </c>
      <c r="N106" s="8">
        <f t="shared" ref="N106:N107" si="32">SUM(B106:M106)</f>
        <v>4600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30">
        <v>250.95582000000002</v>
      </c>
      <c r="F107" s="30">
        <v>264.02325999999999</v>
      </c>
      <c r="G107" s="8">
        <v>170</v>
      </c>
      <c r="H107" s="8">
        <v>60</v>
      </c>
      <c r="I107" s="8">
        <v>60</v>
      </c>
      <c r="J107" s="8">
        <v>52</v>
      </c>
      <c r="K107" s="8">
        <v>50</v>
      </c>
      <c r="L107" s="8">
        <v>60</v>
      </c>
      <c r="M107" s="8">
        <v>46.185892000000024</v>
      </c>
      <c r="N107" s="8">
        <f t="shared" si="32"/>
        <v>1550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3">IFERROR(B100/B104,0)</f>
        <v>10.501905701663928</v>
      </c>
      <c r="C108" s="11">
        <f t="shared" si="33"/>
        <v>8.9794708327145951</v>
      </c>
      <c r="D108" s="11">
        <f t="shared" si="33"/>
        <v>8.1103490017197863</v>
      </c>
      <c r="E108" s="11">
        <f t="shared" si="33"/>
        <v>9.1228950858552906</v>
      </c>
      <c r="F108" s="11">
        <f t="shared" si="33"/>
        <v>8.7504499468522781</v>
      </c>
      <c r="G108" s="11">
        <f t="shared" si="33"/>
        <v>10.444736842105263</v>
      </c>
      <c r="H108" s="11">
        <f t="shared" si="33"/>
        <v>13.113392044776118</v>
      </c>
      <c r="I108" s="11">
        <f t="shared" si="33"/>
        <v>12.734848484848484</v>
      </c>
      <c r="J108" s="11">
        <f t="shared" si="33"/>
        <v>13.56910569105691</v>
      </c>
      <c r="K108" s="11">
        <f t="shared" si="33"/>
        <v>14.140350877192983</v>
      </c>
      <c r="L108" s="11">
        <f t="shared" si="33"/>
        <v>13.345794392523365</v>
      </c>
      <c r="M108" s="11">
        <f t="shared" si="33"/>
        <v>13.029350151440079</v>
      </c>
      <c r="N108" s="11">
        <f t="shared" si="33"/>
        <v>11.02424238181818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4">IFERROR(B100/B110,0)</f>
        <v>10.369454160507381</v>
      </c>
      <c r="C109" s="11">
        <f t="shared" si="34"/>
        <v>9.7156790917336799</v>
      </c>
      <c r="D109" s="11">
        <f t="shared" si="34"/>
        <v>10.345828741261522</v>
      </c>
      <c r="E109" s="11">
        <f t="shared" si="34"/>
        <v>9.5165696254649106</v>
      </c>
      <c r="F109" s="11">
        <f t="shared" si="34"/>
        <v>8.8291239450171766</v>
      </c>
      <c r="G109" s="11">
        <f t="shared" si="34"/>
        <v>10.584</v>
      </c>
      <c r="H109" s="11">
        <f t="shared" si="34"/>
        <v>12.551389528571427</v>
      </c>
      <c r="I109" s="11">
        <f t="shared" si="34"/>
        <v>12.007142857142858</v>
      </c>
      <c r="J109" s="11">
        <f t="shared" si="34"/>
        <v>11.921428571428571</v>
      </c>
      <c r="K109" s="11">
        <f t="shared" si="34"/>
        <v>12.4</v>
      </c>
      <c r="L109" s="11">
        <f t="shared" si="34"/>
        <v>10.984615384615385</v>
      </c>
      <c r="M109" s="11">
        <f t="shared" si="34"/>
        <v>10.991481383944043</v>
      </c>
      <c r="N109" s="11">
        <f t="shared" si="34"/>
        <v>10.814506498216407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5">C111+C117</f>
        <v>686.9760399999999</v>
      </c>
      <c r="D110" s="10">
        <f t="shared" si="35"/>
        <v>708.88481999999999</v>
      </c>
      <c r="E110" s="10">
        <f t="shared" si="35"/>
        <v>675.85897</v>
      </c>
      <c r="F110" s="10">
        <f t="shared" si="35"/>
        <v>810.39707999999996</v>
      </c>
      <c r="G110" s="10">
        <f t="shared" si="35"/>
        <v>750</v>
      </c>
      <c r="H110" s="10">
        <f t="shared" si="35"/>
        <v>700</v>
      </c>
      <c r="I110" s="10">
        <f t="shared" si="35"/>
        <v>700</v>
      </c>
      <c r="J110" s="10">
        <f t="shared" si="35"/>
        <v>700</v>
      </c>
      <c r="K110" s="10">
        <f t="shared" si="35"/>
        <v>650</v>
      </c>
      <c r="L110" s="10">
        <f t="shared" si="35"/>
        <v>650</v>
      </c>
      <c r="M110" s="10">
        <f t="shared" si="35"/>
        <v>631.38159000000007</v>
      </c>
      <c r="N110" s="10">
        <f t="shared" si="35"/>
        <v>8410</v>
      </c>
      <c r="P110" s="10">
        <f>'Budget 2025'!N115</f>
        <v>8100</v>
      </c>
    </row>
    <row r="111" spans="1:17" s="2" customFormat="1" x14ac:dyDescent="0.35">
      <c r="A111" s="9" t="s">
        <v>89</v>
      </c>
      <c r="B111" s="10">
        <v>625.84960000000001</v>
      </c>
      <c r="C111" s="10">
        <v>567.95553999999993</v>
      </c>
      <c r="D111" s="10">
        <v>547.06701999999996</v>
      </c>
      <c r="E111" s="10">
        <v>503.71762000000001</v>
      </c>
      <c r="F111" s="10">
        <v>489.63754</v>
      </c>
      <c r="G111" s="10">
        <v>520</v>
      </c>
      <c r="H111" s="10">
        <v>500</v>
      </c>
      <c r="I111" s="10">
        <v>500</v>
      </c>
      <c r="J111" s="10">
        <v>500</v>
      </c>
      <c r="K111" s="10">
        <v>450</v>
      </c>
      <c r="L111" s="10">
        <v>450</v>
      </c>
      <c r="M111" s="10">
        <v>445.77268000000004</v>
      </c>
      <c r="N111" s="10">
        <f>SUM(B111:M111)</f>
        <v>6100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30">
        <v>6062.7438749011899</v>
      </c>
      <c r="F112" s="30">
        <v>6140.1294179612487</v>
      </c>
      <c r="G112" s="8">
        <v>6097.0103178859017</v>
      </c>
      <c r="H112" s="8">
        <v>6010.3119781491423</v>
      </c>
      <c r="I112" s="8">
        <v>5988.0111772990822</v>
      </c>
      <c r="J112" s="8">
        <v>5982.5751710773866</v>
      </c>
      <c r="K112" s="8">
        <v>5985.9338443235565</v>
      </c>
      <c r="L112" s="8">
        <v>5978.9942549512907</v>
      </c>
      <c r="M112" s="8">
        <v>5980.9087996141807</v>
      </c>
      <c r="N112" s="8">
        <f>SUMPRODUCT(B112:M112,$B$111:$M$111)/SUM($B$111:$M$111)</f>
        <v>6060.0586767720015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31">
        <v>0.62875019916689101</v>
      </c>
      <c r="F113" s="31">
        <v>0.59200945175937258</v>
      </c>
      <c r="G113" s="7">
        <v>0.54555605871887414</v>
      </c>
      <c r="H113" s="7">
        <v>0.55052785228746826</v>
      </c>
      <c r="I113" s="7">
        <v>0.54573442170395137</v>
      </c>
      <c r="J113" s="7">
        <v>0.55843005459682993</v>
      </c>
      <c r="K113" s="7">
        <v>0.5498903760885584</v>
      </c>
      <c r="L113" s="7">
        <v>0.54447319193455601</v>
      </c>
      <c r="M113" s="7">
        <v>0.5582529478141478</v>
      </c>
      <c r="N113" s="7">
        <f t="shared" ref="N113:N116" si="36">SUMPRODUCT(B113:M113,$B$111:$M$111)/SUM($B$111:$M$111)</f>
        <v>0.55471662793995657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31">
        <v>4.3086556847699526</v>
      </c>
      <c r="F114" s="31">
        <v>4.0161303834217623</v>
      </c>
      <c r="G114" s="7">
        <v>3.626522308545042</v>
      </c>
      <c r="H114" s="7">
        <v>3.9698732239255632</v>
      </c>
      <c r="I114" s="7">
        <v>4.0221185102291912</v>
      </c>
      <c r="J114" s="7">
        <v>4.1230951828670603</v>
      </c>
      <c r="K114" s="7">
        <v>4.0187067526495639</v>
      </c>
      <c r="L114" s="7">
        <v>3.9878183521288881</v>
      </c>
      <c r="M114" s="7">
        <v>3.9822798252150511</v>
      </c>
      <c r="N114" s="7">
        <f>(SUMPRODUCT(B114:M114,$B$111:$M$111)/SUM($B$111:$M$111))</f>
        <v>4.1189935599584402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31">
        <v>11.111197834085232</v>
      </c>
      <c r="F115" s="31">
        <v>11.08589093233836</v>
      </c>
      <c r="G115" s="7">
        <v>11.173873317121526</v>
      </c>
      <c r="H115" s="7">
        <v>10.775178757361711</v>
      </c>
      <c r="I115" s="7">
        <v>10.732863255051651</v>
      </c>
      <c r="J115" s="7">
        <v>10.299395687472083</v>
      </c>
      <c r="K115" s="7">
        <v>10.386245998279907</v>
      </c>
      <c r="L115" s="7">
        <v>10.554405669801243</v>
      </c>
      <c r="M115" s="7">
        <v>10.428707426327067</v>
      </c>
      <c r="N115" s="7">
        <f t="shared" si="36"/>
        <v>10.68006344797069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31">
        <v>16.877892815802095</v>
      </c>
      <c r="F116" s="31">
        <v>16.108435921403331</v>
      </c>
      <c r="G116" s="7">
        <v>15.858437979557038</v>
      </c>
      <c r="H116" s="7">
        <v>16.307166718791148</v>
      </c>
      <c r="I116" s="7">
        <v>16.402597942708741</v>
      </c>
      <c r="J116" s="7">
        <v>16.388192743130276</v>
      </c>
      <c r="K116" s="7">
        <v>16.405650627095174</v>
      </c>
      <c r="L116" s="7">
        <v>16.4968184580943</v>
      </c>
      <c r="M116" s="7">
        <v>16.485241032048222</v>
      </c>
      <c r="N116" s="7">
        <f t="shared" si="36"/>
        <v>16.234362446380974</v>
      </c>
      <c r="P116" s="7">
        <f>'Budget 2025'!N121</f>
        <v>15.241913451679135</v>
      </c>
    </row>
    <row r="117" spans="1:17" s="2" customFormat="1" x14ac:dyDescent="0.35">
      <c r="A117" s="9" t="s">
        <v>90</v>
      </c>
      <c r="B117" s="10">
        <v>120.6519</v>
      </c>
      <c r="C117" s="10">
        <v>119.02050000000001</v>
      </c>
      <c r="D117" s="10">
        <v>161.81780000000003</v>
      </c>
      <c r="E117" s="10">
        <v>172.14134999999999</v>
      </c>
      <c r="F117" s="10">
        <v>320.75953999999996</v>
      </c>
      <c r="G117" s="10">
        <v>230</v>
      </c>
      <c r="H117" s="10">
        <v>200</v>
      </c>
      <c r="I117" s="10">
        <v>200</v>
      </c>
      <c r="J117" s="10">
        <v>200</v>
      </c>
      <c r="K117" s="10">
        <v>200</v>
      </c>
      <c r="L117" s="10">
        <v>200</v>
      </c>
      <c r="M117" s="10">
        <v>185.60891000000001</v>
      </c>
      <c r="N117" s="10">
        <f>SUM(B117:M117)</f>
        <v>2310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30">
        <v>6012.6397188048568</v>
      </c>
      <c r="F118" s="30">
        <v>6083.6959776372842</v>
      </c>
      <c r="G118" s="8">
        <v>6181.085269930918</v>
      </c>
      <c r="H118" s="8">
        <v>6168.0721664799721</v>
      </c>
      <c r="I118" s="8">
        <v>6142.4264413431983</v>
      </c>
      <c r="J118" s="8">
        <v>6154.0917937845106</v>
      </c>
      <c r="K118" s="8">
        <v>6169.6330504428042</v>
      </c>
      <c r="L118" s="8">
        <v>6182.6786854129214</v>
      </c>
      <c r="M118" s="8">
        <v>6187.7581341449431</v>
      </c>
      <c r="N118" s="8">
        <f>SUMPRODUCT(B118:M118,$B$117:$M$117)/SUM($B$117:$M$117)</f>
        <v>6128.3186177812458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31">
        <v>1.9317556589393237</v>
      </c>
      <c r="F119" s="31">
        <v>1.8618285371717795</v>
      </c>
      <c r="G119" s="7">
        <v>1.8534968205476094</v>
      </c>
      <c r="H119" s="7">
        <v>1.857134456800376</v>
      </c>
      <c r="I119" s="7">
        <v>1.8940519953275921</v>
      </c>
      <c r="J119" s="7">
        <v>1.9004259518056057</v>
      </c>
      <c r="K119" s="7">
        <v>1.9033562640580683</v>
      </c>
      <c r="L119" s="7">
        <v>1.903528137252712</v>
      </c>
      <c r="M119" s="7">
        <v>1.9046623775699734</v>
      </c>
      <c r="N119" s="7">
        <f t="shared" ref="N119:N122" si="37">SUMPRODUCT(B119:M119,$B$117:$M$117)/SUM($B$117:$M$117)</f>
        <v>1.901747872275023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31">
        <v>6.1221153570451898</v>
      </c>
      <c r="F120" s="31">
        <v>6.1220704658009568</v>
      </c>
      <c r="G120" s="7">
        <v>5.0765022548424881</v>
      </c>
      <c r="H120" s="7">
        <v>5.1597268817539241</v>
      </c>
      <c r="I120" s="7">
        <v>5.2686664579103208</v>
      </c>
      <c r="J120" s="7">
        <v>5.2747369883406412</v>
      </c>
      <c r="K120" s="7">
        <v>5.2485490691349117</v>
      </c>
      <c r="L120" s="7">
        <v>5.264410872180834</v>
      </c>
      <c r="M120" s="7">
        <v>5.2318529751453982</v>
      </c>
      <c r="N120" s="7">
        <f>(SUMPRODUCT(B120:M120,$B$117:$M$117)/SUM($B$117:$M$117))</f>
        <v>5.4424947934334202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31">
        <v>10.296401380035585</v>
      </c>
      <c r="F121" s="31">
        <v>10.237662600735755</v>
      </c>
      <c r="G121" s="7">
        <v>10.105909644699551</v>
      </c>
      <c r="H121" s="7">
        <v>10.158004577777723</v>
      </c>
      <c r="I121" s="7">
        <v>10.249272966854456</v>
      </c>
      <c r="J121" s="7">
        <v>10.177499692634939</v>
      </c>
      <c r="K121" s="7">
        <v>10.431046513146295</v>
      </c>
      <c r="L121" s="7">
        <v>10.673299773185592</v>
      </c>
      <c r="M121" s="7">
        <v>10.750887157348473</v>
      </c>
      <c r="N121" s="7">
        <f t="shared" si="37"/>
        <v>10.358509958447398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31">
        <v>15.426747091382191</v>
      </c>
      <c r="F122" s="31">
        <v>15.278628657581015</v>
      </c>
      <c r="G122" s="7">
        <v>13.945909460663058</v>
      </c>
      <c r="H122" s="7">
        <v>14.116242395764118</v>
      </c>
      <c r="I122" s="7">
        <v>14.356551478744978</v>
      </c>
      <c r="J122" s="7">
        <v>14.182634142717323</v>
      </c>
      <c r="K122" s="7">
        <v>14.216832052739694</v>
      </c>
      <c r="L122" s="7">
        <v>14.30847700394896</v>
      </c>
      <c r="M122" s="7">
        <v>14.306769385536613</v>
      </c>
      <c r="N122" s="7">
        <f t="shared" si="37"/>
        <v>14.685804283231537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84</v>
      </c>
    </row>
    <row r="125" spans="1:17" s="2" customFormat="1" x14ac:dyDescent="0.35">
      <c r="A125" s="9" t="s">
        <v>14</v>
      </c>
      <c r="B125" s="10">
        <f t="shared" ref="B125:N125" si="38">SUM(B126:B126)</f>
        <v>0</v>
      </c>
      <c r="C125" s="10">
        <f t="shared" si="38"/>
        <v>0</v>
      </c>
      <c r="D125" s="10">
        <f t="shared" si="38"/>
        <v>0</v>
      </c>
      <c r="E125" s="10">
        <f t="shared" si="38"/>
        <v>0</v>
      </c>
      <c r="F125" s="10">
        <f t="shared" si="38"/>
        <v>0</v>
      </c>
      <c r="G125" s="10">
        <f t="shared" si="38"/>
        <v>160</v>
      </c>
      <c r="H125" s="10">
        <f t="shared" si="38"/>
        <v>183</v>
      </c>
      <c r="I125" s="10">
        <f t="shared" si="38"/>
        <v>355</v>
      </c>
      <c r="J125" s="10">
        <f t="shared" si="38"/>
        <v>366</v>
      </c>
      <c r="K125" s="10">
        <f t="shared" si="38"/>
        <v>394</v>
      </c>
      <c r="L125" s="10">
        <f t="shared" si="38"/>
        <v>348</v>
      </c>
      <c r="M125" s="10">
        <f t="shared" si="38"/>
        <v>313</v>
      </c>
      <c r="N125" s="10">
        <f t="shared" si="38"/>
        <v>2119</v>
      </c>
      <c r="P125" s="10">
        <f>'Budget 2025'!N130</f>
        <v>5038.6080002984163</v>
      </c>
      <c r="Q125" s="27">
        <f>N125/P125</f>
        <v>0.42055266055118801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30">
        <v>0</v>
      </c>
      <c r="F126" s="30">
        <v>0</v>
      </c>
      <c r="G126" s="8">
        <v>160</v>
      </c>
      <c r="H126" s="8">
        <v>183</v>
      </c>
      <c r="I126" s="8">
        <v>355</v>
      </c>
      <c r="J126" s="8">
        <v>366</v>
      </c>
      <c r="K126" s="8">
        <v>394</v>
      </c>
      <c r="L126" s="8">
        <v>348</v>
      </c>
      <c r="M126" s="8">
        <v>313</v>
      </c>
      <c r="N126" s="8">
        <f t="shared" ref="N126:N128" si="39">SUM(B126:M126)</f>
        <v>2119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 t="shared" ref="B127:M127" si="40">SUM(B128:B128)</f>
        <v>0</v>
      </c>
      <c r="C127" s="10">
        <f t="shared" si="40"/>
        <v>0</v>
      </c>
      <c r="D127" s="10">
        <f t="shared" si="40"/>
        <v>0</v>
      </c>
      <c r="E127" s="10">
        <f t="shared" si="40"/>
        <v>0</v>
      </c>
      <c r="F127" s="10">
        <f t="shared" si="40"/>
        <v>0</v>
      </c>
      <c r="G127" s="10">
        <f t="shared" si="40"/>
        <v>0</v>
      </c>
      <c r="H127" s="10">
        <f t="shared" si="40"/>
        <v>0</v>
      </c>
      <c r="I127" s="10">
        <f t="shared" si="40"/>
        <v>2</v>
      </c>
      <c r="J127" s="10">
        <f t="shared" si="40"/>
        <v>24</v>
      </c>
      <c r="K127" s="10">
        <f t="shared" si="40"/>
        <v>59</v>
      </c>
      <c r="L127" s="10">
        <f t="shared" si="40"/>
        <v>57</v>
      </c>
      <c r="M127" s="10">
        <f t="shared" si="40"/>
        <v>58</v>
      </c>
      <c r="N127" s="10">
        <f t="shared" si="39"/>
        <v>200</v>
      </c>
      <c r="P127" s="10">
        <f>'Budget 2025'!N132</f>
        <v>448</v>
      </c>
      <c r="Q127" s="27">
        <f>N127/P127</f>
        <v>0.44642857142857145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30">
        <v>0</v>
      </c>
      <c r="F128" s="30">
        <v>0</v>
      </c>
      <c r="G128" s="8">
        <v>0</v>
      </c>
      <c r="H128" s="8">
        <v>0</v>
      </c>
      <c r="I128" s="8">
        <v>2</v>
      </c>
      <c r="J128" s="8">
        <v>24</v>
      </c>
      <c r="K128" s="8">
        <v>59</v>
      </c>
      <c r="L128" s="8">
        <v>57</v>
      </c>
      <c r="M128" s="8">
        <v>58</v>
      </c>
      <c r="N128" s="8">
        <f t="shared" si="39"/>
        <v>200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M129" si="41">IFERROR(B125/B127,0)</f>
        <v>0</v>
      </c>
      <c r="C129" s="11">
        <f t="shared" si="41"/>
        <v>0</v>
      </c>
      <c r="D129" s="11">
        <f t="shared" si="41"/>
        <v>0</v>
      </c>
      <c r="E129" s="11">
        <f t="shared" si="41"/>
        <v>0</v>
      </c>
      <c r="F129" s="11">
        <f t="shared" si="41"/>
        <v>0</v>
      </c>
      <c r="G129" s="11">
        <f t="shared" si="41"/>
        <v>0</v>
      </c>
      <c r="H129" s="11">
        <f t="shared" si="41"/>
        <v>0</v>
      </c>
      <c r="I129" s="11">
        <f t="shared" si="41"/>
        <v>177.5</v>
      </c>
      <c r="J129" s="11">
        <f t="shared" si="41"/>
        <v>15.25</v>
      </c>
      <c r="K129" s="11">
        <f t="shared" si="41"/>
        <v>6.6779661016949152</v>
      </c>
      <c r="L129" s="11">
        <f t="shared" si="41"/>
        <v>6.1052631578947372</v>
      </c>
      <c r="M129" s="11">
        <f t="shared" si="41"/>
        <v>5.3965517241379306</v>
      </c>
      <c r="N129" s="11">
        <f>N125/N127</f>
        <v>10.595000000000001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M130" si="42">IFERROR(B125/B132,0)</f>
        <v>0</v>
      </c>
      <c r="C130" s="11">
        <f t="shared" si="42"/>
        <v>0</v>
      </c>
      <c r="D130" s="11">
        <f t="shared" si="42"/>
        <v>0</v>
      </c>
      <c r="E130" s="11">
        <f t="shared" si="42"/>
        <v>0</v>
      </c>
      <c r="F130" s="11">
        <f t="shared" si="42"/>
        <v>0</v>
      </c>
      <c r="G130" s="11">
        <f t="shared" si="42"/>
        <v>0</v>
      </c>
      <c r="H130" s="11">
        <f t="shared" si="42"/>
        <v>0</v>
      </c>
      <c r="I130" s="11">
        <f t="shared" si="42"/>
        <v>177.5</v>
      </c>
      <c r="J130" s="11">
        <f t="shared" si="42"/>
        <v>16.636363636363637</v>
      </c>
      <c r="K130" s="11">
        <f t="shared" si="42"/>
        <v>7.0357142857142856</v>
      </c>
      <c r="L130" s="11">
        <f t="shared" si="42"/>
        <v>6.3272727272727272</v>
      </c>
      <c r="M130" s="11">
        <f t="shared" si="42"/>
        <v>5.2166666666666668</v>
      </c>
      <c r="N130" s="11">
        <f>N125/N132</f>
        <v>10.866666666666667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/>
      <c r="F131" s="10">
        <v>0</v>
      </c>
      <c r="G131" s="10">
        <v>0</v>
      </c>
      <c r="H131" s="10">
        <v>7.5</v>
      </c>
      <c r="I131" s="10">
        <v>15</v>
      </c>
      <c r="J131" s="10">
        <v>14.8</v>
      </c>
      <c r="K131" s="10">
        <v>51.9</v>
      </c>
      <c r="L131" s="10">
        <v>73.900000000000006</v>
      </c>
      <c r="M131" s="10">
        <v>59.4</v>
      </c>
      <c r="N131" s="10">
        <f>SUM(B131:M131)</f>
        <v>222.5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2</v>
      </c>
      <c r="J132" s="10">
        <v>22</v>
      </c>
      <c r="K132" s="10">
        <v>56</v>
      </c>
      <c r="L132" s="10">
        <v>55</v>
      </c>
      <c r="M132" s="10">
        <v>60</v>
      </c>
      <c r="N132" s="10">
        <f>SUM(B132:M132)</f>
        <v>195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30">
        <v>0</v>
      </c>
      <c r="F133" s="30">
        <v>0</v>
      </c>
      <c r="G133" s="8">
        <v>0</v>
      </c>
      <c r="H133" s="8">
        <v>0</v>
      </c>
      <c r="I133" s="8">
        <v>4486.6140735937261</v>
      </c>
      <c r="J133" s="8">
        <v>4432.8755135949605</v>
      </c>
      <c r="K133" s="8">
        <v>4380.2803123296153</v>
      </c>
      <c r="L133" s="8">
        <v>4389.5883815118659</v>
      </c>
      <c r="M133" s="8">
        <v>4258.127827766808</v>
      </c>
      <c r="N133" s="8">
        <f>SUMPRODUCT(B133:M133,$B$132:$M$132)/SUM($B$132:$M$132)</f>
        <v>4352.3447055686984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30">
        <v>0</v>
      </c>
      <c r="F134" s="30">
        <v>0</v>
      </c>
      <c r="G134" s="7">
        <v>0</v>
      </c>
      <c r="H134" s="7">
        <v>0</v>
      </c>
      <c r="I134" s="7">
        <v>0.39501179024804234</v>
      </c>
      <c r="J134" s="7">
        <v>0.42589620091698116</v>
      </c>
      <c r="K134" s="7">
        <v>0.39214311815833125</v>
      </c>
      <c r="L134" s="7">
        <v>0.38832503871255264</v>
      </c>
      <c r="M134" s="7">
        <v>0.32216667917072772</v>
      </c>
      <c r="N134" s="15">
        <f t="shared" ref="N134:N137" si="43">SUMPRODUCT(B134:M134,$B$132:$M$132)/SUM($B$132:$M$132)</f>
        <v>0.37337247434343734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30">
        <v>0</v>
      </c>
      <c r="F135" s="30">
        <v>0</v>
      </c>
      <c r="G135" s="7">
        <v>0</v>
      </c>
      <c r="H135" s="7">
        <v>0</v>
      </c>
      <c r="I135" s="7">
        <v>5.0566813559075587</v>
      </c>
      <c r="J135" s="7">
        <v>4.8164646593450531</v>
      </c>
      <c r="K135" s="7">
        <v>5.5125069655646994</v>
      </c>
      <c r="L135" s="7">
        <v>5.0819750404427353</v>
      </c>
      <c r="M135" s="7">
        <v>5.3704318480311368</v>
      </c>
      <c r="N135" s="15">
        <f t="shared" si="43"/>
        <v>5.2641564789499906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7">
        <v>0</v>
      </c>
      <c r="H136" s="7">
        <v>0</v>
      </c>
      <c r="I136" s="7">
        <v>18.030886665072352</v>
      </c>
      <c r="J136" s="7">
        <v>16.917822881871093</v>
      </c>
      <c r="K136" s="7">
        <v>16.565185582655097</v>
      </c>
      <c r="L136" s="7">
        <v>16.450757235952526</v>
      </c>
      <c r="M136" s="7">
        <v>15.568234572735596</v>
      </c>
      <c r="N136" s="15">
        <f t="shared" si="43"/>
        <v>16.280974316418046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7">
        <v>0</v>
      </c>
      <c r="H137" s="7">
        <v>0</v>
      </c>
      <c r="I137" s="7">
        <v>29.406303157371443</v>
      </c>
      <c r="J137" s="7">
        <v>29.712125382556522</v>
      </c>
      <c r="K137" s="7">
        <v>30.393887037771364</v>
      </c>
      <c r="L137" s="7">
        <v>30.274660478416536</v>
      </c>
      <c r="M137" s="7">
        <v>29.424757489545357</v>
      </c>
      <c r="N137" s="15">
        <f t="shared" si="43"/>
        <v>29.975019561701604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84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4">C141</f>
        <v>568.32123179999974</v>
      </c>
      <c r="D140" s="10">
        <f t="shared" si="44"/>
        <v>598.84629849999999</v>
      </c>
      <c r="E140" s="10">
        <f t="shared" si="44"/>
        <v>615.73748850000004</v>
      </c>
      <c r="F140" s="10">
        <f t="shared" si="44"/>
        <v>586.95212330000004</v>
      </c>
      <c r="G140" s="10">
        <f t="shared" si="44"/>
        <v>600</v>
      </c>
      <c r="H140" s="10">
        <f t="shared" si="44"/>
        <v>790</v>
      </c>
      <c r="I140" s="10">
        <f t="shared" si="44"/>
        <v>825</v>
      </c>
      <c r="J140" s="10">
        <f t="shared" si="44"/>
        <v>850</v>
      </c>
      <c r="K140" s="10">
        <f t="shared" si="44"/>
        <v>895</v>
      </c>
      <c r="L140" s="10">
        <f t="shared" si="44"/>
        <v>795</v>
      </c>
      <c r="M140" s="10">
        <f t="shared" si="44"/>
        <v>840.36993050000092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30">
        <v>615.73748850000004</v>
      </c>
      <c r="F141" s="30">
        <v>586.95212330000004</v>
      </c>
      <c r="G141" s="8">
        <v>600</v>
      </c>
      <c r="H141" s="8">
        <v>790</v>
      </c>
      <c r="I141" s="8">
        <v>825</v>
      </c>
      <c r="J141" s="8">
        <v>850</v>
      </c>
      <c r="K141" s="8">
        <v>895</v>
      </c>
      <c r="L141" s="8">
        <v>795</v>
      </c>
      <c r="M141" s="8">
        <v>840.36993050000092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5">SUM(B143:B145)</f>
        <v>202.94750399999998</v>
      </c>
      <c r="C142" s="10">
        <f t="shared" si="45"/>
        <v>206.07165499999999</v>
      </c>
      <c r="D142" s="10">
        <f t="shared" si="45"/>
        <v>193.28730300000001</v>
      </c>
      <c r="E142" s="10">
        <f t="shared" si="45"/>
        <v>202.80895999999998</v>
      </c>
      <c r="F142" s="10">
        <f t="shared" si="45"/>
        <v>197.45907500000001</v>
      </c>
      <c r="G142" s="10">
        <f t="shared" si="45"/>
        <v>200</v>
      </c>
      <c r="H142" s="10">
        <f t="shared" si="45"/>
        <v>130</v>
      </c>
      <c r="I142" s="10">
        <f t="shared" si="45"/>
        <v>130</v>
      </c>
      <c r="J142" s="10">
        <f t="shared" si="45"/>
        <v>130</v>
      </c>
      <c r="K142" s="10">
        <f t="shared" si="45"/>
        <v>175</v>
      </c>
      <c r="L142" s="10">
        <f t="shared" si="45"/>
        <v>160</v>
      </c>
      <c r="M142" s="10">
        <f t="shared" si="45"/>
        <v>172.42550299999994</v>
      </c>
      <c r="N142" s="10">
        <f t="shared" si="45"/>
        <v>2100</v>
      </c>
      <c r="O142" s="2"/>
      <c r="P142" s="10">
        <f>'Budget 2025'!N147</f>
        <v>2100</v>
      </c>
      <c r="Q142" s="27">
        <f>N142/P142</f>
        <v>1</v>
      </c>
    </row>
    <row r="143" spans="1:17" x14ac:dyDescent="0.35">
      <c r="A143" s="5" t="s">
        <v>71</v>
      </c>
      <c r="B143" s="30">
        <v>159.013825</v>
      </c>
      <c r="C143" s="30">
        <v>158.03981999999999</v>
      </c>
      <c r="D143" s="30">
        <v>150.56874999999999</v>
      </c>
      <c r="E143" s="30">
        <v>160.37235999999999</v>
      </c>
      <c r="F143" s="30">
        <v>176.986615</v>
      </c>
      <c r="G143" s="8">
        <v>157.5</v>
      </c>
      <c r="H143" s="8">
        <v>94.308035714285722</v>
      </c>
      <c r="I143" s="8">
        <v>92.857142857142861</v>
      </c>
      <c r="J143" s="8">
        <v>102.375</v>
      </c>
      <c r="K143" s="8">
        <v>131.43669985775247</v>
      </c>
      <c r="L143" s="8">
        <v>120.17069701280226</v>
      </c>
      <c r="M143" s="8">
        <v>129.50308048933138</v>
      </c>
      <c r="N143" s="8">
        <f>SUM(B143:M143)</f>
        <v>1633.1320259313147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30">
        <v>42.436599999999999</v>
      </c>
      <c r="F144" s="30">
        <v>20.472460000000002</v>
      </c>
      <c r="G144" s="8">
        <v>42.5</v>
      </c>
      <c r="H144" s="8">
        <v>35.691964285714285</v>
      </c>
      <c r="I144" s="8">
        <v>37.142857142857146</v>
      </c>
      <c r="J144" s="8">
        <v>27.625</v>
      </c>
      <c r="K144" s="8">
        <v>43.563300142247535</v>
      </c>
      <c r="L144" s="8">
        <v>39.829302987197735</v>
      </c>
      <c r="M144" s="8">
        <v>42.922422510668547</v>
      </c>
      <c r="N144" s="8">
        <f t="shared" ref="N144:N145" si="46">SUM(B144:M144)</f>
        <v>466.86797406868527</v>
      </c>
      <c r="P144" s="8">
        <f>'Budget 2025'!N149</f>
        <v>633</v>
      </c>
    </row>
    <row r="145" spans="1:17" hidden="1" x14ac:dyDescent="0.35">
      <c r="A145" s="5" t="s">
        <v>74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f t="shared" si="46"/>
        <v>0</v>
      </c>
      <c r="P145" s="8"/>
    </row>
    <row r="146" spans="1:17" x14ac:dyDescent="0.35">
      <c r="A146" s="9" t="s">
        <v>43</v>
      </c>
      <c r="B146" s="11">
        <f>IFERROR(B140/B142,0)</f>
        <v>2.6350308176246404</v>
      </c>
      <c r="C146" s="11">
        <f t="shared" ref="C146:N146" si="47">C140/C142</f>
        <v>2.7578816300572719</v>
      </c>
      <c r="D146" s="11">
        <f t="shared" si="47"/>
        <v>3.0982185027435558</v>
      </c>
      <c r="E146" s="11">
        <f t="shared" si="47"/>
        <v>3.0360467727855815</v>
      </c>
      <c r="F146" s="11">
        <f t="shared" si="47"/>
        <v>2.9725254374862233</v>
      </c>
      <c r="G146" s="11">
        <f t="shared" si="47"/>
        <v>3</v>
      </c>
      <c r="H146" s="11">
        <f t="shared" si="47"/>
        <v>6.0769230769230766</v>
      </c>
      <c r="I146" s="11">
        <f t="shared" si="47"/>
        <v>6.3461538461538458</v>
      </c>
      <c r="J146" s="11">
        <f t="shared" si="47"/>
        <v>6.5384615384615383</v>
      </c>
      <c r="K146" s="11">
        <f t="shared" si="47"/>
        <v>5.1142857142857139</v>
      </c>
      <c r="L146" s="11">
        <f t="shared" si="47"/>
        <v>4.96875</v>
      </c>
      <c r="M146" s="11">
        <f t="shared" si="47"/>
        <v>4.8738145800856456</v>
      </c>
      <c r="N146" s="11">
        <f t="shared" si="47"/>
        <v>4.0476190476190474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8">C140/C148</f>
        <v>3.2809207976167176</v>
      </c>
      <c r="D147" s="11">
        <f t="shared" si="48"/>
        <v>3.3141826893276956</v>
      </c>
      <c r="E147" s="11">
        <f t="shared" si="48"/>
        <v>2.9182716546910439</v>
      </c>
      <c r="F147" s="11">
        <f t="shared" si="48"/>
        <v>3.3720690813493284</v>
      </c>
      <c r="G147" s="11">
        <f t="shared" si="48"/>
        <v>3.3333333333333335</v>
      </c>
      <c r="H147" s="11">
        <f t="shared" si="48"/>
        <v>9.875</v>
      </c>
      <c r="I147" s="11">
        <f t="shared" si="48"/>
        <v>11.785714285714286</v>
      </c>
      <c r="J147" s="11">
        <f t="shared" si="48"/>
        <v>7.083333333333333</v>
      </c>
      <c r="K147" s="11">
        <f t="shared" si="48"/>
        <v>5.1142857142857139</v>
      </c>
      <c r="L147" s="11">
        <f t="shared" si="48"/>
        <v>3.8780487804878048</v>
      </c>
      <c r="M147" s="11">
        <f t="shared" si="48"/>
        <v>3.9534871611320681</v>
      </c>
      <c r="N147" s="11">
        <f t="shared" si="48"/>
        <v>4.1463414634146343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210.99388999999999</v>
      </c>
      <c r="F148" s="10">
        <v>174.06290000000001</v>
      </c>
      <c r="G148" s="10">
        <v>180</v>
      </c>
      <c r="H148" s="10">
        <v>80</v>
      </c>
      <c r="I148" s="10">
        <v>70</v>
      </c>
      <c r="J148" s="10">
        <v>120</v>
      </c>
      <c r="K148" s="10">
        <v>175</v>
      </c>
      <c r="L148" s="10">
        <v>205</v>
      </c>
      <c r="M148" s="10">
        <v>212.56422399999997</v>
      </c>
      <c r="N148" s="10">
        <f>SUM(B148:M148)</f>
        <v>2050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30">
        <v>3734.7558438011138</v>
      </c>
      <c r="F149" s="30">
        <v>3761.512838364034</v>
      </c>
      <c r="G149" s="8">
        <v>3669.7441167392676</v>
      </c>
      <c r="H149" s="8">
        <v>3675.2079485265504</v>
      </c>
      <c r="I149" s="8">
        <v>3702.8509342823663</v>
      </c>
      <c r="J149" s="8">
        <v>3702.5855761894868</v>
      </c>
      <c r="K149" s="8">
        <v>3721.0697848548953</v>
      </c>
      <c r="L149" s="8">
        <v>3732.3798892859922</v>
      </c>
      <c r="M149" s="8">
        <v>3734.4836843080552</v>
      </c>
      <c r="N149" s="14">
        <f>SUMPRODUCT(B149:M149,$B$148:$M$148)/SUM($B$148:$M$148)</f>
        <v>3727.2085156891335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31">
        <v>0.1861802189727271</v>
      </c>
      <c r="F150" s="31">
        <v>0.18490418490158569</v>
      </c>
      <c r="G150" s="7">
        <v>0.20585045016361067</v>
      </c>
      <c r="H150" s="7">
        <v>0.17464183380379025</v>
      </c>
      <c r="I150" s="7">
        <v>0.14927664925844122</v>
      </c>
      <c r="J150" s="7">
        <v>0.14871168266262508</v>
      </c>
      <c r="K150" s="7">
        <v>0.14882350081808102</v>
      </c>
      <c r="L150" s="7">
        <v>0.15490020974135515</v>
      </c>
      <c r="M150" s="7">
        <v>0.15945097834482966</v>
      </c>
      <c r="N150" s="15">
        <f t="shared" ref="N150:N153" si="49">SUMPRODUCT(B150:M150,$B$148:$M$148)/SUM($B$148:$M$148)</f>
        <v>0.16923038998653953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31">
        <v>7.42950380961679</v>
      </c>
      <c r="F151" s="31">
        <v>6.5335358000086119</v>
      </c>
      <c r="G151" s="7">
        <v>8.8063151219602762</v>
      </c>
      <c r="H151" s="7">
        <v>8.4911382533921245</v>
      </c>
      <c r="I151" s="7">
        <v>8.6398833765281342</v>
      </c>
      <c r="J151" s="7">
        <v>8.7434543727503051</v>
      </c>
      <c r="K151" s="7">
        <v>8.3969234630513494</v>
      </c>
      <c r="L151" s="7">
        <v>7.6479661560965786</v>
      </c>
      <c r="M151" s="7">
        <v>7.1574432618901263</v>
      </c>
      <c r="N151" s="15">
        <f t="shared" si="49"/>
        <v>8.0938522846162169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31">
        <v>20.317303551788733</v>
      </c>
      <c r="F152" s="31">
        <v>19.980341604431985</v>
      </c>
      <c r="G152" s="7">
        <v>18.980338995174755</v>
      </c>
      <c r="H152" s="7">
        <v>22.105755419011977</v>
      </c>
      <c r="I152" s="7">
        <v>22.044117105891441</v>
      </c>
      <c r="J152" s="7">
        <v>22.208695589698138</v>
      </c>
      <c r="K152" s="7">
        <v>21.700895578861264</v>
      </c>
      <c r="L152" s="7">
        <v>22.461696903643762</v>
      </c>
      <c r="M152" s="7">
        <v>23.70852149284093</v>
      </c>
      <c r="N152" s="15">
        <f>SUMPRODUCT(B152:M152,$B$148:$M$148)/SUM($B$148:$M$148)</f>
        <v>20.955764595632381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31">
        <v>39.340891969116079</v>
      </c>
      <c r="F153" s="31">
        <v>39.272117270289797</v>
      </c>
      <c r="G153" s="7">
        <v>38.594008015940489</v>
      </c>
      <c r="H153" s="7">
        <v>37.971337087224782</v>
      </c>
      <c r="I153" s="7">
        <v>37.825216785791923</v>
      </c>
      <c r="J153" s="7">
        <v>37.79860285045033</v>
      </c>
      <c r="K153" s="7">
        <v>37.83174988828695</v>
      </c>
      <c r="L153" s="7">
        <v>38.168480331607114</v>
      </c>
      <c r="M153" s="7">
        <v>38.380914096404005</v>
      </c>
      <c r="N153" s="15">
        <f t="shared" si="49"/>
        <v>38.482440702595582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84</v>
      </c>
    </row>
    <row r="156" spans="1:17" x14ac:dyDescent="0.35">
      <c r="A156" s="9" t="s">
        <v>14</v>
      </c>
      <c r="B156" s="10">
        <f t="shared" ref="B156" si="50">SUM(B157:B157)</f>
        <v>661.74428069999999</v>
      </c>
      <c r="C156" s="10">
        <f t="shared" ref="C156" si="51">SUM(C157:C157)</f>
        <v>587.57625299999995</v>
      </c>
      <c r="D156" s="10">
        <f t="shared" ref="D156" si="52">SUM(D157:D157)</f>
        <v>862.78976650000004</v>
      </c>
      <c r="E156" s="10">
        <f t="shared" ref="E156" si="53">SUM(E157:E157)</f>
        <v>732.04360150000002</v>
      </c>
      <c r="F156" s="10">
        <f t="shared" ref="F156" si="54">SUM(F157:F157)</f>
        <v>823.00242780000008</v>
      </c>
      <c r="G156" s="10">
        <f t="shared" ref="G156" si="55">SUM(G157:G157)</f>
        <v>927.01633950666655</v>
      </c>
      <c r="H156" s="10">
        <f t="shared" ref="H156" si="56">SUM(H157:H157)</f>
        <v>1095.8926513977533</v>
      </c>
      <c r="I156" s="10">
        <f t="shared" ref="I156" si="57">SUM(I157:I157)</f>
        <v>1093.0767347601534</v>
      </c>
      <c r="J156" s="10">
        <f t="shared" ref="J156" si="58">SUM(J157:J157)</f>
        <v>1063.0365902193935</v>
      </c>
      <c r="K156" s="10">
        <f t="shared" ref="K156" si="59">SUM(K157:K157)</f>
        <v>1016.3653792813903</v>
      </c>
      <c r="L156" s="10">
        <f t="shared" ref="L156" si="60">SUM(L157:L157)</f>
        <v>904.59254324422341</v>
      </c>
      <c r="M156" s="10">
        <f t="shared" ref="M156" si="61">SUM(M157:M157)</f>
        <v>941.05013062042326</v>
      </c>
      <c r="N156" s="10">
        <f t="shared" ref="N156" si="62">SUM(N157:N157)</f>
        <v>10708.186698530004</v>
      </c>
      <c r="P156" s="10">
        <f>'Budget 2025'!N160</f>
        <v>10708.18669853</v>
      </c>
      <c r="Q156" s="27">
        <f>N156/P156</f>
        <v>1.0000000000000004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30">
        <v>732.04360150000002</v>
      </c>
      <c r="F157" s="30">
        <v>823.00242780000008</v>
      </c>
      <c r="G157" s="8">
        <v>927.01633950666655</v>
      </c>
      <c r="H157" s="8">
        <v>1095.8926513977533</v>
      </c>
      <c r="I157" s="8">
        <v>1093.0767347601534</v>
      </c>
      <c r="J157" s="8">
        <v>1063.0365902193935</v>
      </c>
      <c r="K157" s="8">
        <v>1016.3653792813903</v>
      </c>
      <c r="L157" s="8">
        <v>904.59254324422341</v>
      </c>
      <c r="M157" s="8">
        <v>941.05013062042326</v>
      </c>
      <c r="N157" s="8">
        <f>SUM(B157:M157)</f>
        <v>10708.186698530004</v>
      </c>
      <c r="P157" s="8">
        <f>'Budget 2025'!N161</f>
        <v>10708.18669853</v>
      </c>
    </row>
    <row r="158" spans="1:17" x14ac:dyDescent="0.35">
      <c r="A158" s="9" t="s">
        <v>17</v>
      </c>
      <c r="B158" s="10">
        <f>SUM(B159:B160)</f>
        <v>36.66854</v>
      </c>
      <c r="C158" s="10">
        <f t="shared" ref="C158:N158" si="63">SUM(C159:C160)</f>
        <v>40.429600000000001</v>
      </c>
      <c r="D158" s="10">
        <f t="shared" si="63"/>
        <v>41.222171000000003</v>
      </c>
      <c r="E158" s="10">
        <f t="shared" si="63"/>
        <v>46.549130000000005</v>
      </c>
      <c r="F158" s="10">
        <f t="shared" si="63"/>
        <v>48.071481157090901</v>
      </c>
      <c r="G158" s="10">
        <f t="shared" si="63"/>
        <v>55</v>
      </c>
      <c r="H158" s="10">
        <f t="shared" si="63"/>
        <v>60</v>
      </c>
      <c r="I158" s="10">
        <f t="shared" si="63"/>
        <v>60</v>
      </c>
      <c r="J158" s="10">
        <f t="shared" si="63"/>
        <v>60</v>
      </c>
      <c r="K158" s="10">
        <f t="shared" si="63"/>
        <v>54.755339361121464</v>
      </c>
      <c r="L158" s="10">
        <f t="shared" si="63"/>
        <v>52.029538921454602</v>
      </c>
      <c r="M158" s="10">
        <f t="shared" si="63"/>
        <v>51.274199560333102</v>
      </c>
      <c r="N158" s="10">
        <f t="shared" si="63"/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30">
        <v>19.569130000000001</v>
      </c>
      <c r="F159" s="30">
        <v>11.152659999999999</v>
      </c>
      <c r="G159" s="8">
        <v>25</v>
      </c>
      <c r="H159" s="8">
        <v>40</v>
      </c>
      <c r="I159" s="8">
        <v>45</v>
      </c>
      <c r="J159" s="8">
        <v>40</v>
      </c>
      <c r="K159" s="8">
        <v>54.755339361121464</v>
      </c>
      <c r="L159" s="8">
        <v>52.029538921454602</v>
      </c>
      <c r="M159" s="8">
        <v>51.274199560333102</v>
      </c>
      <c r="N159" s="8">
        <f>SUM(B159:M159)</f>
        <v>433.29858784290917</v>
      </c>
      <c r="P159" s="8">
        <f>'Budget 2025'!N163</f>
        <v>605.9998925264573</v>
      </c>
    </row>
    <row r="160" spans="1:17" x14ac:dyDescent="0.35">
      <c r="A160" s="5" t="s">
        <v>92</v>
      </c>
      <c r="B160" s="30"/>
      <c r="C160" s="30"/>
      <c r="D160" s="30">
        <v>23.802591</v>
      </c>
      <c r="E160" s="30">
        <v>26.98</v>
      </c>
      <c r="F160" s="30">
        <v>36.918821157090903</v>
      </c>
      <c r="G160" s="8">
        <v>30</v>
      </c>
      <c r="H160" s="8">
        <v>20</v>
      </c>
      <c r="I160" s="8">
        <v>15</v>
      </c>
      <c r="J160" s="8">
        <v>20</v>
      </c>
      <c r="K160" s="8">
        <v>0</v>
      </c>
      <c r="L160" s="8">
        <v>0</v>
      </c>
      <c r="M160" s="8">
        <v>0</v>
      </c>
      <c r="N160" s="8">
        <f>SUM(B160:M160)</f>
        <v>172.70141215709089</v>
      </c>
      <c r="P160" s="8"/>
    </row>
    <row r="161" spans="1:16" x14ac:dyDescent="0.35">
      <c r="A161" s="9" t="s">
        <v>43</v>
      </c>
      <c r="B161" s="11">
        <f>IFERROR(B156/B158,0)</f>
        <v>18.046649272100826</v>
      </c>
      <c r="C161" s="11">
        <f t="shared" ref="C161:M161" si="64">IFERROR(C156/C158,0)</f>
        <v>14.533318484476718</v>
      </c>
      <c r="D161" s="11">
        <f t="shared" si="64"/>
        <v>20.930235976654409</v>
      </c>
      <c r="E161" s="11">
        <f t="shared" si="64"/>
        <v>15.726257429515867</v>
      </c>
      <c r="F161" s="11">
        <f t="shared" si="64"/>
        <v>17.120388388086958</v>
      </c>
      <c r="G161" s="11">
        <f t="shared" si="64"/>
        <v>16.854842536484846</v>
      </c>
      <c r="H161" s="11">
        <f t="shared" si="64"/>
        <v>18.264877523295887</v>
      </c>
      <c r="I161" s="11">
        <f t="shared" si="64"/>
        <v>18.21794557933589</v>
      </c>
      <c r="J161" s="11">
        <f t="shared" si="64"/>
        <v>17.717276503656556</v>
      </c>
      <c r="K161" s="11">
        <f t="shared" si="64"/>
        <v>18.561941011419453</v>
      </c>
      <c r="L161" s="11">
        <f t="shared" si="64"/>
        <v>17.386134146024709</v>
      </c>
      <c r="M161" s="11">
        <f t="shared" si="64"/>
        <v>18.353287592780703</v>
      </c>
      <c r="N161" s="11">
        <f t="shared" ref="N161" si="65">N156/N158</f>
        <v>17.670275080082515</v>
      </c>
      <c r="P161" s="11">
        <f>'Budget 2025'!N164</f>
        <v>17.6702782138901</v>
      </c>
    </row>
    <row r="162" spans="1:16" x14ac:dyDescent="0.35">
      <c r="A162" s="9" t="s">
        <v>34</v>
      </c>
      <c r="B162" s="11">
        <f>IFERROR(B156/B163,0)</f>
        <v>69.670860188563026</v>
      </c>
      <c r="C162" s="11">
        <f t="shared" ref="C162:M162" si="66">IFERROR(C156/C163,0)</f>
        <v>99.011071455652996</v>
      </c>
      <c r="D162" s="11">
        <f t="shared" si="66"/>
        <v>36.507066938879134</v>
      </c>
      <c r="E162" s="11">
        <f t="shared" si="66"/>
        <v>28.540323535202507</v>
      </c>
      <c r="F162" s="11">
        <f t="shared" si="66"/>
        <v>19.149749618344057</v>
      </c>
      <c r="G162" s="11">
        <f t="shared" si="66"/>
        <v>18.540326790133332</v>
      </c>
      <c r="H162" s="11">
        <f t="shared" si="66"/>
        <v>26.756248412351226</v>
      </c>
      <c r="I162" s="11">
        <f t="shared" si="66"/>
        <v>24.290594105781185</v>
      </c>
      <c r="J162" s="11">
        <f t="shared" si="66"/>
        <v>21.26073180438787</v>
      </c>
      <c r="K162" s="11">
        <f t="shared" si="66"/>
        <v>15.636390450482928</v>
      </c>
      <c r="L162" s="11">
        <f t="shared" si="66"/>
        <v>7.5300527441833163</v>
      </c>
      <c r="M162" s="11">
        <f t="shared" si="66"/>
        <v>8.3859176594830735</v>
      </c>
      <c r="N162" s="11">
        <f t="shared" ref="N162" si="67">N156/N163</f>
        <v>18.11875921917089</v>
      </c>
      <c r="P162" s="11">
        <f>'Budget 2025'!N165</f>
        <v>18.118759219170897</v>
      </c>
    </row>
    <row r="163" spans="1:16" x14ac:dyDescent="0.35">
      <c r="A163" s="9" t="s">
        <v>47</v>
      </c>
      <c r="B163" s="10">
        <v>9.4981500000000008</v>
      </c>
      <c r="C163" s="10">
        <v>5.93445</v>
      </c>
      <c r="D163" s="10">
        <v>23.633500000000002</v>
      </c>
      <c r="E163" s="10">
        <v>25.649450000000002</v>
      </c>
      <c r="F163" s="10">
        <v>42.97719</v>
      </c>
      <c r="G163" s="10">
        <v>50</v>
      </c>
      <c r="H163" s="10">
        <v>40.958382300407521</v>
      </c>
      <c r="I163" s="10">
        <v>45</v>
      </c>
      <c r="J163" s="10">
        <v>50</v>
      </c>
      <c r="K163" s="10">
        <v>65</v>
      </c>
      <c r="L163" s="10">
        <v>120.13097038968117</v>
      </c>
      <c r="M163" s="10">
        <v>112.21790730991171</v>
      </c>
      <c r="N163" s="10">
        <f>SUM(B163:M163)</f>
        <v>591.00000000000045</v>
      </c>
      <c r="P163" s="10">
        <f>'Budget 2025'!N166</f>
        <v>591</v>
      </c>
    </row>
    <row r="164" spans="1:16" x14ac:dyDescent="0.35">
      <c r="A164" s="9" t="s">
        <v>73</v>
      </c>
      <c r="B164" s="10">
        <v>9.4981500000000008</v>
      </c>
      <c r="C164" s="10">
        <v>5.93445</v>
      </c>
      <c r="D164" s="10">
        <v>23.633500000000002</v>
      </c>
      <c r="E164" s="10">
        <v>25.649450000000002</v>
      </c>
      <c r="F164" s="10">
        <v>42.97719</v>
      </c>
      <c r="G164" s="10">
        <v>50</v>
      </c>
      <c r="H164" s="10">
        <v>40.958382300407521</v>
      </c>
      <c r="I164" s="10">
        <v>45</v>
      </c>
      <c r="J164" s="10">
        <v>50</v>
      </c>
      <c r="K164" s="10">
        <v>65</v>
      </c>
      <c r="L164" s="10">
        <v>120.13097038968117</v>
      </c>
      <c r="M164" s="10">
        <v>112.21790730991171</v>
      </c>
      <c r="N164" s="10">
        <f>SUM(B164:M164)</f>
        <v>591.00000000000045</v>
      </c>
      <c r="P164" s="10">
        <f>'Budget 2025'!N166</f>
        <v>591</v>
      </c>
    </row>
    <row r="165" spans="1:16" x14ac:dyDescent="0.35">
      <c r="A165" s="5" t="s">
        <v>60</v>
      </c>
      <c r="B165" s="30">
        <v>6571.5022289184244</v>
      </c>
      <c r="C165" s="30">
        <v>6870.6132266666664</v>
      </c>
      <c r="D165" s="30">
        <v>6804.7599199859806</v>
      </c>
      <c r="E165" s="30">
        <v>6863.1036296272086</v>
      </c>
      <c r="F165" s="30">
        <v>6917.9128577218871</v>
      </c>
      <c r="G165" s="8">
        <v>6876.5343152951218</v>
      </c>
      <c r="H165" s="8">
        <v>7170.021825087636</v>
      </c>
      <c r="I165" s="8">
        <v>7094.2278391415975</v>
      </c>
      <c r="J165" s="8">
        <v>7079.393780736591</v>
      </c>
      <c r="K165" s="8">
        <v>7042.8850547664342</v>
      </c>
      <c r="L165" s="8">
        <v>7124.0675714910258</v>
      </c>
      <c r="M165" s="8">
        <v>7103.9699874349863</v>
      </c>
      <c r="N165" s="14">
        <f>SUMPRODUCT(B165:M165,$B$163:$M$163)/SUM($B$163:$M$163)</f>
        <v>7037.0025110228562</v>
      </c>
      <c r="P165" s="8">
        <f>'Budget 2025'!N167</f>
        <v>6914.924833624611</v>
      </c>
    </row>
    <row r="166" spans="1:16" x14ac:dyDescent="0.35">
      <c r="A166" s="5" t="s">
        <v>22</v>
      </c>
      <c r="B166" s="31">
        <v>1.7712264150943398</v>
      </c>
      <c r="C166" s="31">
        <v>0.82</v>
      </c>
      <c r="D166" s="31">
        <v>1.1686534698197493</v>
      </c>
      <c r="E166" s="31">
        <v>1.2243569582860536</v>
      </c>
      <c r="F166" s="31">
        <v>1.1903144410219055</v>
      </c>
      <c r="G166" s="7">
        <v>1.17</v>
      </c>
      <c r="H166" s="7">
        <v>1.2555952186996624</v>
      </c>
      <c r="I166" s="7">
        <v>1.29559521869966</v>
      </c>
      <c r="J166" s="7">
        <v>1.1555952186996601</v>
      </c>
      <c r="K166" s="7">
        <v>1.1803277133153813</v>
      </c>
      <c r="L166" s="7">
        <v>1.140615326300114</v>
      </c>
      <c r="M166" s="7">
        <v>1.2096590456004397</v>
      </c>
      <c r="N166" s="15">
        <f t="shared" ref="N166:N169" si="68">SUMPRODUCT(B166:M166,$B$163:$M$163)/SUM($B$163:$M$163)</f>
        <v>1.1969002981359715</v>
      </c>
      <c r="P166" s="7">
        <f>'Budget 2025'!N168</f>
        <v>0.97967782668745695</v>
      </c>
    </row>
    <row r="167" spans="1:16" x14ac:dyDescent="0.35">
      <c r="A167" s="5" t="s">
        <v>23</v>
      </c>
      <c r="B167" s="31">
        <v>4.8215801886792455</v>
      </c>
      <c r="C167" s="31">
        <v>2.9799999999999995</v>
      </c>
      <c r="D167" s="31">
        <v>3.39306674152584</v>
      </c>
      <c r="E167" s="31">
        <v>3.00196482107097</v>
      </c>
      <c r="F167" s="31">
        <v>2.8749350865485632</v>
      </c>
      <c r="G167" s="7">
        <v>2.36</v>
      </c>
      <c r="H167" s="7">
        <v>3.3954619429861799</v>
      </c>
      <c r="I167" s="7">
        <v>3.4667790238432903</v>
      </c>
      <c r="J167" s="7">
        <v>3.4561477884688827</v>
      </c>
      <c r="K167" s="7">
        <v>3.2654353210208571</v>
      </c>
      <c r="L167" s="7">
        <v>3.3252504373824063</v>
      </c>
      <c r="M167" s="7">
        <v>3.241788282443038</v>
      </c>
      <c r="N167" s="15">
        <f t="shared" si="68"/>
        <v>3.2243939124807235</v>
      </c>
      <c r="P167" s="7">
        <f>'Budget 2025'!N169</f>
        <v>3.7673803156838583</v>
      </c>
    </row>
    <row r="168" spans="1:16" x14ac:dyDescent="0.35">
      <c r="A168" s="5" t="s">
        <v>38</v>
      </c>
      <c r="B168" s="31">
        <v>5.7297523584905656</v>
      </c>
      <c r="C168" s="31">
        <v>6.2500000000000009</v>
      </c>
      <c r="D168" s="31">
        <v>6.5932641170299657</v>
      </c>
      <c r="E168" s="31">
        <v>5.0621123671972477</v>
      </c>
      <c r="F168" s="31">
        <v>5.5060401124331646</v>
      </c>
      <c r="G168" s="7">
        <v>6.31</v>
      </c>
      <c r="H168" s="7">
        <v>5.0174225521153462</v>
      </c>
      <c r="I168" s="7">
        <v>4.9378123173685333</v>
      </c>
      <c r="J168" s="7">
        <v>4.933015907124477</v>
      </c>
      <c r="K168" s="7">
        <v>4.8866803736476223</v>
      </c>
      <c r="L168" s="7">
        <v>4.8193375315292935</v>
      </c>
      <c r="M168" s="7">
        <v>4.8987811026229853</v>
      </c>
      <c r="N168" s="15">
        <f t="shared" si="68"/>
        <v>5.1607166505430451</v>
      </c>
      <c r="P168" s="7">
        <f>'Budget 2025'!N170</f>
        <v>8.6903071606236697</v>
      </c>
    </row>
    <row r="169" spans="1:16" x14ac:dyDescent="0.35">
      <c r="A169" s="5" t="s">
        <v>25</v>
      </c>
      <c r="B169" s="31">
        <v>10.061898584905659</v>
      </c>
      <c r="C169" s="31">
        <v>11.07</v>
      </c>
      <c r="D169" s="31">
        <v>11.352853790688217</v>
      </c>
      <c r="E169" s="31">
        <v>10.890247646413854</v>
      </c>
      <c r="F169" s="31">
        <v>10.731007883001881</v>
      </c>
      <c r="G169" s="7">
        <v>12.5</v>
      </c>
      <c r="H169" s="7">
        <v>7.8878510166142295</v>
      </c>
      <c r="I169" s="7">
        <v>7.7789420014069943</v>
      </c>
      <c r="J169" s="7">
        <v>7.7967670862397647</v>
      </c>
      <c r="K169" s="7">
        <v>7.7779637831283441</v>
      </c>
      <c r="L169" s="7">
        <v>7.8017823977815413</v>
      </c>
      <c r="M169" s="7">
        <v>7.9294015285454149</v>
      </c>
      <c r="N169" s="15">
        <f t="shared" si="68"/>
        <v>8.782872122662992</v>
      </c>
      <c r="P169" s="7">
        <f>'Budget 2025'!N171</f>
        <v>4.734175124469358</v>
      </c>
    </row>
    <row r="171" spans="1:16" x14ac:dyDescent="0.35">
      <c r="A171" s="6" t="s">
        <v>86</v>
      </c>
      <c r="B171" s="6" t="s">
        <v>1</v>
      </c>
      <c r="C171" s="6" t="s">
        <v>2</v>
      </c>
      <c r="D171" s="6" t="s">
        <v>3</v>
      </c>
      <c r="E171" s="6" t="s">
        <v>4</v>
      </c>
      <c r="F171" s="6" t="s">
        <v>5</v>
      </c>
      <c r="G171" s="6" t="s">
        <v>6</v>
      </c>
      <c r="H171" s="6" t="s">
        <v>7</v>
      </c>
      <c r="I171" s="6" t="s">
        <v>8</v>
      </c>
      <c r="J171" s="6" t="s">
        <v>9</v>
      </c>
      <c r="K171" s="6" t="s">
        <v>10</v>
      </c>
      <c r="L171" s="6" t="s">
        <v>11</v>
      </c>
      <c r="M171" s="6" t="s">
        <v>12</v>
      </c>
      <c r="N171" s="6" t="s">
        <v>13</v>
      </c>
      <c r="O171" s="4"/>
      <c r="P171" s="6" t="s">
        <v>84</v>
      </c>
    </row>
    <row r="172" spans="1:16" x14ac:dyDescent="0.35">
      <c r="A172" s="9" t="s">
        <v>14</v>
      </c>
      <c r="B172" s="10">
        <f>B173</f>
        <v>0</v>
      </c>
      <c r="C172" s="10">
        <f t="shared" ref="C172:M172" si="69">C173</f>
        <v>0</v>
      </c>
      <c r="D172" s="10">
        <f t="shared" si="69"/>
        <v>0</v>
      </c>
      <c r="E172" s="10">
        <f t="shared" si="69"/>
        <v>11.936999999999999</v>
      </c>
      <c r="F172" s="10">
        <f t="shared" si="69"/>
        <v>67.275000000000006</v>
      </c>
      <c r="G172" s="10">
        <f t="shared" si="69"/>
        <v>345</v>
      </c>
      <c r="H172" s="10">
        <f t="shared" si="69"/>
        <v>577</v>
      </c>
      <c r="I172" s="10">
        <f t="shared" si="69"/>
        <v>587</v>
      </c>
      <c r="J172" s="10">
        <f t="shared" si="69"/>
        <v>568</v>
      </c>
      <c r="K172" s="10">
        <f t="shared" si="69"/>
        <v>694</v>
      </c>
      <c r="L172" s="10">
        <f t="shared" si="69"/>
        <v>619</v>
      </c>
      <c r="M172" s="10">
        <f t="shared" si="69"/>
        <v>630.78800000000001</v>
      </c>
      <c r="N172" s="10">
        <f>SUM(B172:M172)</f>
        <v>4100</v>
      </c>
      <c r="O172" s="2"/>
      <c r="P172" s="10">
        <f>'Budget 2025'!N174</f>
        <v>5683.5</v>
      </c>
    </row>
    <row r="173" spans="1:16" x14ac:dyDescent="0.35">
      <c r="A173" s="5" t="s">
        <v>57</v>
      </c>
      <c r="B173" s="30">
        <v>0</v>
      </c>
      <c r="C173" s="30">
        <v>0</v>
      </c>
      <c r="D173" s="30">
        <v>0</v>
      </c>
      <c r="E173" s="30">
        <v>11.936999999999999</v>
      </c>
      <c r="F173" s="30">
        <v>67.275000000000006</v>
      </c>
      <c r="G173" s="8">
        <v>345</v>
      </c>
      <c r="H173" s="8">
        <v>577</v>
      </c>
      <c r="I173" s="8">
        <v>587</v>
      </c>
      <c r="J173" s="8">
        <v>568</v>
      </c>
      <c r="K173" s="8">
        <v>694</v>
      </c>
      <c r="L173" s="8">
        <v>619</v>
      </c>
      <c r="M173" s="8">
        <v>630.78800000000001</v>
      </c>
      <c r="N173" s="8">
        <f>SUM(B173:M173)</f>
        <v>4100</v>
      </c>
      <c r="P173" s="8">
        <f>'Budget 2025'!N175</f>
        <v>5683.5</v>
      </c>
    </row>
    <row r="174" spans="1:16" x14ac:dyDescent="0.35">
      <c r="A174" s="9" t="s">
        <v>17</v>
      </c>
      <c r="B174" s="10">
        <f t="shared" ref="B174:N174" si="70">SUM(B175:B175)</f>
        <v>0</v>
      </c>
      <c r="C174" s="10">
        <f t="shared" si="70"/>
        <v>0</v>
      </c>
      <c r="D174" s="10">
        <f t="shared" si="70"/>
        <v>0</v>
      </c>
      <c r="E174" s="10">
        <f t="shared" si="70"/>
        <v>0</v>
      </c>
      <c r="F174" s="10">
        <f t="shared" si="70"/>
        <v>0</v>
      </c>
      <c r="G174" s="10">
        <f t="shared" si="70"/>
        <v>0</v>
      </c>
      <c r="H174" s="10">
        <f t="shared" si="70"/>
        <v>0</v>
      </c>
      <c r="I174" s="10">
        <f t="shared" si="70"/>
        <v>50</v>
      </c>
      <c r="J174" s="10">
        <f t="shared" si="70"/>
        <v>50</v>
      </c>
      <c r="K174" s="10">
        <f t="shared" si="70"/>
        <v>50</v>
      </c>
      <c r="L174" s="10">
        <f t="shared" si="70"/>
        <v>50</v>
      </c>
      <c r="M174" s="10">
        <f t="shared" si="70"/>
        <v>50</v>
      </c>
      <c r="N174" s="10">
        <f t="shared" si="70"/>
        <v>250</v>
      </c>
      <c r="O174" s="2"/>
      <c r="P174" s="10">
        <f>'Budget 2025'!N176</f>
        <v>450</v>
      </c>
    </row>
    <row r="175" spans="1:16" x14ac:dyDescent="0.35">
      <c r="A175" s="5" t="s">
        <v>57</v>
      </c>
      <c r="B175" s="30">
        <v>0</v>
      </c>
      <c r="C175" s="30">
        <v>0</v>
      </c>
      <c r="D175" s="30">
        <v>0</v>
      </c>
      <c r="E175" s="30">
        <v>0</v>
      </c>
      <c r="F175" s="30">
        <v>0</v>
      </c>
      <c r="G175" s="8">
        <v>0</v>
      </c>
      <c r="H175" s="8">
        <v>0</v>
      </c>
      <c r="I175" s="8">
        <v>50</v>
      </c>
      <c r="J175" s="8">
        <v>50</v>
      </c>
      <c r="K175" s="8">
        <v>50</v>
      </c>
      <c r="L175" s="8">
        <v>50</v>
      </c>
      <c r="M175" s="8">
        <v>50</v>
      </c>
      <c r="N175" s="8">
        <f>SUM(B175:M175)</f>
        <v>250</v>
      </c>
      <c r="P175" s="8">
        <f>'Budget 2025'!N177</f>
        <v>450</v>
      </c>
    </row>
    <row r="176" spans="1:16" x14ac:dyDescent="0.35">
      <c r="A176" s="9" t="s">
        <v>43</v>
      </c>
      <c r="B176" s="11">
        <f>IFERROR(B172/B174,0)</f>
        <v>0</v>
      </c>
      <c r="C176" s="11">
        <f t="shared" ref="C176:M176" si="71">IFERROR(C172/C174,0)</f>
        <v>0</v>
      </c>
      <c r="D176" s="11">
        <f t="shared" si="71"/>
        <v>0</v>
      </c>
      <c r="E176" s="11">
        <f t="shared" si="71"/>
        <v>0</v>
      </c>
      <c r="F176" s="11">
        <f t="shared" si="71"/>
        <v>0</v>
      </c>
      <c r="G176" s="11">
        <f t="shared" si="71"/>
        <v>0</v>
      </c>
      <c r="H176" s="11">
        <f t="shared" si="71"/>
        <v>0</v>
      </c>
      <c r="I176" s="11">
        <f t="shared" si="71"/>
        <v>11.74</v>
      </c>
      <c r="J176" s="11">
        <f t="shared" si="71"/>
        <v>11.36</v>
      </c>
      <c r="K176" s="11">
        <f t="shared" si="71"/>
        <v>13.88</v>
      </c>
      <c r="L176" s="11">
        <f t="shared" si="71"/>
        <v>12.38</v>
      </c>
      <c r="M176" s="11">
        <f t="shared" si="71"/>
        <v>12.61576</v>
      </c>
      <c r="N176" s="11">
        <f>N172/N174</f>
        <v>16.399999999999999</v>
      </c>
      <c r="O176" s="2"/>
      <c r="P176" s="11">
        <f>'Budget 2025'!N178</f>
        <v>12.63</v>
      </c>
    </row>
    <row r="177" spans="1:16" x14ac:dyDescent="0.35">
      <c r="A177" s="9" t="s">
        <v>34</v>
      </c>
      <c r="B177" s="11">
        <f>IFERROR(B172/B178,0)</f>
        <v>0</v>
      </c>
      <c r="C177" s="11">
        <f t="shared" ref="C177:M177" si="72">IFERROR(C172/C178,0)</f>
        <v>0</v>
      </c>
      <c r="D177" s="11">
        <f t="shared" si="72"/>
        <v>0</v>
      </c>
      <c r="E177" s="11">
        <f t="shared" si="72"/>
        <v>0</v>
      </c>
      <c r="F177" s="11">
        <f t="shared" si="72"/>
        <v>0</v>
      </c>
      <c r="G177" s="11">
        <f t="shared" si="72"/>
        <v>0</v>
      </c>
      <c r="H177" s="11">
        <f t="shared" si="72"/>
        <v>0</v>
      </c>
      <c r="I177" s="11">
        <f t="shared" si="72"/>
        <v>0</v>
      </c>
      <c r="J177" s="11">
        <f t="shared" si="72"/>
        <v>0</v>
      </c>
      <c r="K177" s="11">
        <f t="shared" si="72"/>
        <v>19.828571428571429</v>
      </c>
      <c r="L177" s="11">
        <f t="shared" si="72"/>
        <v>11.254545454545454</v>
      </c>
      <c r="M177" s="11">
        <f t="shared" si="72"/>
        <v>10.513133333333334</v>
      </c>
      <c r="N177" s="11">
        <f>N172/N178</f>
        <v>27.333333333333332</v>
      </c>
      <c r="O177" s="2"/>
      <c r="P177" s="11">
        <f>'Budget 2025'!N179</f>
        <v>18.945</v>
      </c>
    </row>
    <row r="178" spans="1:16" x14ac:dyDescent="0.35">
      <c r="A178" s="9" t="s">
        <v>47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>
        <v>35</v>
      </c>
      <c r="L178" s="10">
        <v>55</v>
      </c>
      <c r="M178" s="10">
        <v>60</v>
      </c>
      <c r="N178" s="10">
        <f>SUM(B178:M178)</f>
        <v>150</v>
      </c>
      <c r="O178" s="2"/>
      <c r="P178" s="10">
        <f>'Budget 2025'!N180</f>
        <v>300</v>
      </c>
    </row>
    <row r="179" spans="1:16" x14ac:dyDescent="0.35">
      <c r="A179" s="5" t="s">
        <v>98</v>
      </c>
      <c r="B179" s="30"/>
      <c r="C179" s="30"/>
      <c r="D179" s="30"/>
      <c r="E179" s="30"/>
      <c r="F179" s="30"/>
      <c r="G179" s="8"/>
      <c r="H179" s="8"/>
      <c r="I179" s="8"/>
      <c r="J179" s="8"/>
      <c r="K179" s="8">
        <v>6044.0930233912932</v>
      </c>
      <c r="L179" s="8">
        <v>6333.9225656967956</v>
      </c>
      <c r="M179" s="8">
        <v>5986.8798571050147</v>
      </c>
      <c r="N179" s="14">
        <f>SUMPRODUCT(B179:M179,$B$178:$M$178)/SUM($B$178:$M$178)</f>
        <v>6127.4785890554658</v>
      </c>
      <c r="O179" s="12"/>
      <c r="P179" s="8">
        <f>'Budget 2025'!N181</f>
        <v>5016.4002721866818</v>
      </c>
    </row>
    <row r="180" spans="1:16" x14ac:dyDescent="0.35">
      <c r="A180" s="5" t="s">
        <v>22</v>
      </c>
      <c r="B180" s="31"/>
      <c r="C180" s="31"/>
      <c r="D180" s="31"/>
      <c r="E180" s="31"/>
      <c r="F180" s="31"/>
      <c r="G180" s="7"/>
      <c r="H180" s="7"/>
      <c r="I180" s="7"/>
      <c r="J180" s="7"/>
      <c r="K180" s="7">
        <v>1.3930754005701096</v>
      </c>
      <c r="L180" s="7">
        <v>1.2140471421963361</v>
      </c>
      <c r="M180" s="7">
        <v>1.0710319895159821</v>
      </c>
      <c r="N180" s="15">
        <f t="shared" ref="N180:N183" si="73">SUMPRODUCT(B180:M180,$B$178:$M$178)/SUM($B$178:$M$178)</f>
        <v>1.1986143414114083</v>
      </c>
      <c r="P180" s="7">
        <f>'Budget 2025'!N182</f>
        <v>0.85231442995617068</v>
      </c>
    </row>
    <row r="181" spans="1:16" x14ac:dyDescent="0.35">
      <c r="A181" s="5" t="s">
        <v>23</v>
      </c>
      <c r="B181" s="31"/>
      <c r="C181" s="31"/>
      <c r="D181" s="31"/>
      <c r="E181" s="31"/>
      <c r="F181" s="31"/>
      <c r="G181" s="7"/>
      <c r="H181" s="7"/>
      <c r="I181" s="7"/>
      <c r="J181" s="7"/>
      <c r="K181" s="7">
        <v>5.7000578653517397</v>
      </c>
      <c r="L181" s="7">
        <v>5.4742883680538794</v>
      </c>
      <c r="M181" s="7">
        <v>7.2123658154344463</v>
      </c>
      <c r="N181" s="15">
        <f t="shared" si="73"/>
        <v>6.2221988963756063</v>
      </c>
      <c r="P181" s="7">
        <f>'Budget 2025'!N183</f>
        <v>4.6059680600780979</v>
      </c>
    </row>
    <row r="182" spans="1:16" x14ac:dyDescent="0.35">
      <c r="A182" s="5" t="s">
        <v>38</v>
      </c>
      <c r="B182" s="31"/>
      <c r="C182" s="31"/>
      <c r="D182" s="31"/>
      <c r="E182" s="31"/>
      <c r="F182" s="31"/>
      <c r="G182" s="7"/>
      <c r="H182" s="7"/>
      <c r="I182" s="7"/>
      <c r="J182" s="7"/>
      <c r="K182" s="7">
        <v>13.923366135568223</v>
      </c>
      <c r="L182" s="7">
        <v>11.903036394338658</v>
      </c>
      <c r="M182" s="7">
        <v>11.73644901634553</v>
      </c>
      <c r="N182" s="15">
        <f t="shared" si="73"/>
        <v>12.307811716094973</v>
      </c>
      <c r="P182" s="7">
        <f>'Budget 2025'!N184</f>
        <v>5.8143085963157821</v>
      </c>
    </row>
    <row r="183" spans="1:16" x14ac:dyDescent="0.35">
      <c r="A183" s="5" t="s">
        <v>25</v>
      </c>
      <c r="B183" s="31"/>
      <c r="C183" s="31"/>
      <c r="D183" s="31"/>
      <c r="E183" s="31"/>
      <c r="F183" s="31"/>
      <c r="G183" s="7"/>
      <c r="H183" s="7"/>
      <c r="I183" s="7"/>
      <c r="J183" s="7"/>
      <c r="K183" s="7">
        <v>18.500274117840537</v>
      </c>
      <c r="L183" s="7">
        <v>16.522596540952378</v>
      </c>
      <c r="M183" s="7">
        <v>16.82591044540866</v>
      </c>
      <c r="N183" s="15">
        <f t="shared" si="73"/>
        <v>17.105380204008796</v>
      </c>
      <c r="P183" s="7">
        <f>'Budget 2025'!N185</f>
        <v>11.20202059508415</v>
      </c>
    </row>
    <row r="185" spans="1:16" hidden="1" x14ac:dyDescent="0.35">
      <c r="B185" s="4" t="s">
        <v>93</v>
      </c>
      <c r="C185" s="4" t="s">
        <v>93</v>
      </c>
      <c r="D185" s="4" t="s">
        <v>93</v>
      </c>
      <c r="E185" s="4" t="s">
        <v>94</v>
      </c>
      <c r="F185" s="4" t="s">
        <v>94</v>
      </c>
      <c r="G185" s="4" t="s">
        <v>94</v>
      </c>
      <c r="H185" s="4" t="s">
        <v>95</v>
      </c>
      <c r="I185" s="4" t="s">
        <v>95</v>
      </c>
      <c r="J185" s="4" t="s">
        <v>95</v>
      </c>
      <c r="K185" s="4" t="s">
        <v>96</v>
      </c>
      <c r="L185" s="4" t="s">
        <v>96</v>
      </c>
      <c r="M185" s="4" t="s">
        <v>96</v>
      </c>
    </row>
  </sheetData>
  <pageMargins left="0.7" right="0.7" top="0.75" bottom="0.75" header="0.3" footer="0.3"/>
  <pageSetup paperSize="9" orientation="portrait" r:id="rId1"/>
  <ignoredErrors>
    <ignoredError sqref="N12 N17 N73 P129 N157:N158 N142 N104 N120 N114 N17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F8D-A84E-4ED5-8222-38FE1030235D}">
  <sheetPr>
    <tabColor theme="4"/>
  </sheetPr>
  <dimension ref="A1:K183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3" sqref="C13"/>
    </sheetView>
  </sheetViews>
  <sheetFormatPr defaultColWidth="8.90625" defaultRowHeight="14.5" x14ac:dyDescent="0.35"/>
  <cols>
    <col min="1" max="1" width="27.453125" style="1" customWidth="1"/>
    <col min="2" max="5" width="11.81640625" style="1" bestFit="1" customWidth="1"/>
    <col min="6" max="6" width="13.36328125" style="1" customWidth="1"/>
    <col min="7" max="7" width="1.6328125" style="1" customWidth="1"/>
    <col min="8" max="8" width="13.6328125" style="1" customWidth="1"/>
    <col min="9" max="9" width="0" style="1" hidden="1" customWidth="1"/>
    <col min="10" max="16384" width="8.90625" style="1"/>
  </cols>
  <sheetData>
    <row r="1" spans="1:11" x14ac:dyDescent="0.35">
      <c r="A1" s="3" t="s">
        <v>91</v>
      </c>
      <c r="B1" s="12"/>
      <c r="C1" s="12"/>
      <c r="D1" s="12"/>
      <c r="E1" s="12"/>
    </row>
    <row r="2" spans="1:11" x14ac:dyDescent="0.35">
      <c r="B2" s="13"/>
      <c r="C2" s="13"/>
      <c r="D2" s="13"/>
      <c r="E2" s="13"/>
    </row>
    <row r="3" spans="1:11" ht="15.65" customHeight="1" x14ac:dyDescent="0.35">
      <c r="B3" s="4" t="s">
        <v>88</v>
      </c>
      <c r="C3" s="4" t="s">
        <v>62</v>
      </c>
      <c r="D3" s="4" t="s">
        <v>62</v>
      </c>
      <c r="E3" s="4" t="s">
        <v>62</v>
      </c>
      <c r="F3" s="4" t="s">
        <v>62</v>
      </c>
      <c r="G3" s="4"/>
      <c r="H3" s="4"/>
    </row>
    <row r="4" spans="1:11" x14ac:dyDescent="0.35">
      <c r="A4" s="6" t="s">
        <v>0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13</v>
      </c>
      <c r="G4" s="4"/>
      <c r="H4" s="6" t="s">
        <v>84</v>
      </c>
    </row>
    <row r="5" spans="1:11" s="2" customFormat="1" x14ac:dyDescent="0.35">
      <c r="A5" s="9" t="s">
        <v>14</v>
      </c>
      <c r="B5" s="10">
        <f t="shared" ref="B5:E5" si="0">SUM(B6:B7)</f>
        <v>20851.675137800001</v>
      </c>
      <c r="C5" s="10">
        <f t="shared" si="0"/>
        <v>21887.901533538228</v>
      </c>
      <c r="D5" s="10">
        <f t="shared" si="0"/>
        <v>25789.718230171704</v>
      </c>
      <c r="E5" s="10">
        <f t="shared" si="0"/>
        <v>26667.483489670783</v>
      </c>
      <c r="F5" s="10">
        <f>SUM(B5:E5)</f>
        <v>95196.778391180735</v>
      </c>
      <c r="H5" s="10">
        <f>'Budget 2025'!N5</f>
        <v>94714.47819029224</v>
      </c>
      <c r="I5" s="27">
        <f>F5/H5</f>
        <v>1.0050921486356024</v>
      </c>
      <c r="K5" s="32"/>
    </row>
    <row r="6" spans="1:11" x14ac:dyDescent="0.35">
      <c r="A6" s="5" t="s">
        <v>15</v>
      </c>
      <c r="B6" s="30">
        <f>SUMIFS('Outlook 5+7'!$B6:$M6,'Outlook 5+7'!$B$185:$M$185,'Outlook Quarterly 5+7'!B$4)</f>
        <v>7367.5048347000011</v>
      </c>
      <c r="C6" s="8">
        <f>SUMIFS('Outlook 5+7'!$B6:$M6,'Outlook 5+7'!$B$185:$M$185,'Outlook Quarterly 5+7'!C$4)</f>
        <v>6990.5305178640665</v>
      </c>
      <c r="D6" s="8">
        <f>SUMIFS('Outlook 5+7'!$B6:$M6,'Outlook 5+7'!$B$185:$M$185,'Outlook Quarterly 5+7'!D$4)</f>
        <v>9290.110125593701</v>
      </c>
      <c r="E6" s="8">
        <f>SUMIFS('Outlook 5+7'!$B6:$M6,'Outlook 5+7'!$B$185:$M$185,'Outlook Quarterly 5+7'!E$4)</f>
        <v>10025.750385510788</v>
      </c>
      <c r="F6" s="8">
        <f>SUM(B6:E6)</f>
        <v>33673.895863668557</v>
      </c>
      <c r="H6" s="8">
        <f>'Budget 2025'!N6</f>
        <v>33532.659005910617</v>
      </c>
      <c r="K6" s="32"/>
    </row>
    <row r="7" spans="1:11" x14ac:dyDescent="0.35">
      <c r="A7" s="5" t="s">
        <v>16</v>
      </c>
      <c r="B7" s="30">
        <f>SUMIFS('Outlook 5+7'!$B7:$M7,'Outlook 5+7'!$B$185:$M$185,'Outlook Quarterly 5+7'!B$4)</f>
        <v>13484.1703031</v>
      </c>
      <c r="C7" s="8">
        <f>SUMIFS('Outlook 5+7'!$B7:$M7,'Outlook 5+7'!$B$185:$M$185,'Outlook Quarterly 5+7'!C$4)</f>
        <v>14897.371015674162</v>
      </c>
      <c r="D7" s="8">
        <f>SUMIFS('Outlook 5+7'!$B7:$M7,'Outlook 5+7'!$B$185:$M$185,'Outlook Quarterly 5+7'!D$4)</f>
        <v>16499.608104578001</v>
      </c>
      <c r="E7" s="8">
        <f>SUMIFS('Outlook 5+7'!$B7:$M7,'Outlook 5+7'!$B$185:$M$185,'Outlook Quarterly 5+7'!E$4)</f>
        <v>16641.733104159997</v>
      </c>
      <c r="F7" s="8">
        <f>SUM(B7:E7)</f>
        <v>61522.882527512164</v>
      </c>
      <c r="H7" s="8">
        <f>'Budget 2025'!N7</f>
        <v>61181.819184381624</v>
      </c>
      <c r="K7" s="32"/>
    </row>
    <row r="8" spans="1:11" s="2" customFormat="1" x14ac:dyDescent="0.35">
      <c r="A8" s="9" t="s">
        <v>17</v>
      </c>
      <c r="B8" s="10">
        <f>SUM(B9:B11)</f>
        <v>1579.7397969999997</v>
      </c>
      <c r="C8" s="10">
        <f t="shared" ref="C8:F8" si="1">SUM(C9:C11)</f>
        <v>1668.8118850489004</v>
      </c>
      <c r="D8" s="10">
        <f t="shared" si="1"/>
        <v>1930.000000041495</v>
      </c>
      <c r="E8" s="10">
        <f t="shared" si="1"/>
        <v>1881.4483179252697</v>
      </c>
      <c r="F8" s="10">
        <f t="shared" si="1"/>
        <v>7060.0000000156642</v>
      </c>
      <c r="H8" s="10">
        <f>'Budget 2025'!N8</f>
        <v>6950.0000001494245</v>
      </c>
      <c r="I8" s="27">
        <f>F8/H8</f>
        <v>1.0158273381099101</v>
      </c>
      <c r="K8" s="32"/>
    </row>
    <row r="9" spans="1:11" x14ac:dyDescent="0.35">
      <c r="A9" s="5" t="s">
        <v>15</v>
      </c>
      <c r="B9" s="30">
        <f>SUMIFS('Outlook 5+7'!$B9:$M9,'Outlook 5+7'!$B$185:$M$185,'Outlook Quarterly 5+7'!B$4)</f>
        <v>492.13511538767386</v>
      </c>
      <c r="C9" s="8">
        <f>SUMIFS('Outlook 5+7'!$B9:$M9,'Outlook 5+7'!$B$185:$M$185,'Outlook Quarterly 5+7'!C$4)</f>
        <v>401.23061715962189</v>
      </c>
      <c r="D9" s="8">
        <f>SUMIFS('Outlook 5+7'!$B9:$M9,'Outlook 5+7'!$B$185:$M$185,'Outlook Quarterly 5+7'!D$4)</f>
        <v>454.1342674511427</v>
      </c>
      <c r="E9" s="8">
        <f>SUMIFS('Outlook 5+7'!$B9:$M9,'Outlook 5+7'!$B$185:$M$185,'Outlook Quarterly 5+7'!E$4)</f>
        <v>385.00000000827748</v>
      </c>
      <c r="F9" s="8">
        <f>SUM(B9:E9)</f>
        <v>1732.5000000067159</v>
      </c>
      <c r="H9" s="8">
        <f>'Budget 2025'!N9</f>
        <v>1862.5000000400435</v>
      </c>
      <c r="K9" s="32"/>
    </row>
    <row r="10" spans="1:11" x14ac:dyDescent="0.35">
      <c r="A10" s="5" t="s">
        <v>16</v>
      </c>
      <c r="B10" s="30">
        <f>SUMIFS('Outlook 5+7'!$B10:$M10,'Outlook 5+7'!$B$185:$M$185,'Outlook Quarterly 5+7'!B$4)</f>
        <v>1087.604681612326</v>
      </c>
      <c r="C10" s="8">
        <f>SUMIFS('Outlook 5+7'!$B10:$M10,'Outlook 5+7'!$B$185:$M$185,'Outlook Quarterly 5+7'!C$4)</f>
        <v>1267.5812678892785</v>
      </c>
      <c r="D10" s="8">
        <f>SUMIFS('Outlook 5+7'!$B10:$M10,'Outlook 5+7'!$B$185:$M$185,'Outlook Quarterly 5+7'!D$4)</f>
        <v>1475.8657325903523</v>
      </c>
      <c r="E10" s="8">
        <f>SUMIFS('Outlook 5+7'!$B10:$M10,'Outlook 5+7'!$B$185:$M$185,'Outlook Quarterly 5+7'!E$4)</f>
        <v>1496.4483179169922</v>
      </c>
      <c r="F10" s="8">
        <f>SUM(B10:E10)</f>
        <v>5327.5000000089485</v>
      </c>
      <c r="H10" s="8">
        <f>'Budget 2025'!N10</f>
        <v>5087.5000001093813</v>
      </c>
      <c r="K10" s="32"/>
    </row>
    <row r="11" spans="1:11" x14ac:dyDescent="0.35">
      <c r="A11" s="5" t="s">
        <v>70</v>
      </c>
      <c r="B11" s="30">
        <f>SUMIFS('Outlook 5+7'!$B11:$M11,'Outlook 5+7'!$B$185:$M$185,'Outlook Quarterly 5+7'!B$4)</f>
        <v>0</v>
      </c>
      <c r="C11" s="8">
        <f>SUMIFS('Outlook 5+7'!$B11:$M11,'Outlook 5+7'!$B$185:$M$185,'Outlook Quarterly 5+7'!C$4)</f>
        <v>0</v>
      </c>
      <c r="D11" s="8">
        <f>SUMIFS('Outlook 5+7'!$B11:$M11,'Outlook 5+7'!$B$185:$M$185,'Outlook Quarterly 5+7'!D$4)</f>
        <v>0</v>
      </c>
      <c r="E11" s="8">
        <f>SUMIFS('Outlook 5+7'!$B11:$M11,'Outlook 5+7'!$B$185:$M$185,'Outlook Quarterly 5+7'!E$4)</f>
        <v>0</v>
      </c>
      <c r="F11" s="8">
        <f>SUM(B11:E11)</f>
        <v>0</v>
      </c>
      <c r="H11" s="8">
        <f>'Budget 2025'!N11</f>
        <v>0</v>
      </c>
      <c r="K11" s="32"/>
    </row>
    <row r="12" spans="1:11" s="2" customFormat="1" x14ac:dyDescent="0.35">
      <c r="A12" s="9" t="s">
        <v>18</v>
      </c>
      <c r="B12" s="11">
        <f t="shared" ref="B12:F12" si="2">B5/B8</f>
        <v>13.199436500490975</v>
      </c>
      <c r="C12" s="11">
        <f t="shared" si="2"/>
        <v>13.115859090910572</v>
      </c>
      <c r="D12" s="11">
        <f t="shared" si="2"/>
        <v>13.362548305501154</v>
      </c>
      <c r="E12" s="11">
        <f t="shared" si="2"/>
        <v>14.173912318292022</v>
      </c>
      <c r="F12" s="11">
        <f t="shared" si="2"/>
        <v>13.483962944896533</v>
      </c>
      <c r="H12" s="11">
        <f>'Budget 2025'!N12</f>
        <v>13.627982473130343</v>
      </c>
      <c r="K12" s="32"/>
    </row>
    <row r="13" spans="1:11" s="2" customFormat="1" x14ac:dyDescent="0.35">
      <c r="A13" s="9" t="s">
        <v>19</v>
      </c>
      <c r="B13" s="10">
        <f>SUM(B14:B16)</f>
        <v>1698.6086059999998</v>
      </c>
      <c r="C13" s="10">
        <f t="shared" ref="C13:E13" si="3">SUM(C14:C16)</f>
        <v>1647.804947533738</v>
      </c>
      <c r="D13" s="10">
        <f t="shared" si="3"/>
        <v>1971.2500000414948</v>
      </c>
      <c r="E13" s="10">
        <f t="shared" si="3"/>
        <v>1817.336446424767</v>
      </c>
      <c r="F13" s="10">
        <f>SUM(B13:E13)</f>
        <v>7134.9999999999991</v>
      </c>
      <c r="H13" s="10">
        <f>'Budget 2025'!N13</f>
        <v>7100.0000001494254</v>
      </c>
      <c r="K13" s="32"/>
    </row>
    <row r="14" spans="1:11" x14ac:dyDescent="0.35">
      <c r="A14" s="5" t="s">
        <v>15</v>
      </c>
      <c r="B14" s="30">
        <f>SUMIFS('Outlook 5+7'!$B14:$M14,'Outlook 5+7'!$B$185:$M$185,'Outlook Quarterly 5+7'!B$4)</f>
        <v>568.07789038767385</v>
      </c>
      <c r="C14" s="8">
        <f>SUMIFS('Outlook 5+7'!$B14:$M14,'Outlook 5+7'!$B$185:$M$185,'Outlook Quarterly 5+7'!C$4)</f>
        <v>414.03441410592234</v>
      </c>
      <c r="D14" s="8">
        <f>SUMIFS('Outlook 5+7'!$B14:$M14,'Outlook 5+7'!$B$185:$M$185,'Outlook Quarterly 5+7'!D$4)</f>
        <v>470.00000000988996</v>
      </c>
      <c r="E14" s="8">
        <f>SUMIFS('Outlook 5+7'!$B14:$M14,'Outlook 5+7'!$B$185:$M$185,'Outlook Quarterly 5+7'!E$4)</f>
        <v>277.88769549651352</v>
      </c>
      <c r="F14" s="8">
        <f>SUM(B14:E14)</f>
        <v>1729.9999999999995</v>
      </c>
      <c r="H14" s="8">
        <f>'Budget 2025'!N14</f>
        <v>1862.5000000400439</v>
      </c>
      <c r="K14" s="32"/>
    </row>
    <row r="15" spans="1:11" x14ac:dyDescent="0.35">
      <c r="A15" s="5" t="s">
        <v>16</v>
      </c>
      <c r="B15" s="30">
        <f>SUMIFS('Outlook 5+7'!$B15:$M15,'Outlook 5+7'!$B$185:$M$185,'Outlook Quarterly 5+7'!B$4)</f>
        <v>1130.530715612326</v>
      </c>
      <c r="C15" s="8">
        <f>SUMIFS('Outlook 5+7'!$B15:$M15,'Outlook 5+7'!$B$185:$M$185,'Outlook Quarterly 5+7'!C$4)</f>
        <v>1225.0786644132149</v>
      </c>
      <c r="D15" s="8">
        <f>SUMIFS('Outlook 5+7'!$B15:$M15,'Outlook 5+7'!$B$185:$M$185,'Outlook Quarterly 5+7'!D$4)</f>
        <v>1471.5000000316047</v>
      </c>
      <c r="E15" s="8">
        <f>SUMIFS('Outlook 5+7'!$B15:$M15,'Outlook 5+7'!$B$185:$M$185,'Outlook Quarterly 5+7'!E$4)</f>
        <v>1501.1987509282535</v>
      </c>
      <c r="F15" s="8">
        <f t="shared" ref="F15:F16" si="4">SUM(B15:E15)</f>
        <v>5328.3081309853997</v>
      </c>
      <c r="H15" s="8">
        <f>'Budget 2025'!N15</f>
        <v>5110.0000001093813</v>
      </c>
      <c r="K15" s="32"/>
    </row>
    <row r="16" spans="1:11" x14ac:dyDescent="0.35">
      <c r="A16" s="5" t="s">
        <v>68</v>
      </c>
      <c r="B16" s="30">
        <f>SUMIFS('Outlook 5+7'!$B16:$M16,'Outlook 5+7'!$B$185:$M$185,'Outlook Quarterly 5+7'!B$4)</f>
        <v>0</v>
      </c>
      <c r="C16" s="8">
        <f>SUMIFS('Outlook 5+7'!$B16:$M16,'Outlook 5+7'!$B$185:$M$185,'Outlook Quarterly 5+7'!C$4)</f>
        <v>8.6918690146006838</v>
      </c>
      <c r="D16" s="8">
        <f>SUMIFS('Outlook 5+7'!$B16:$M16,'Outlook 5+7'!$B$185:$M$185,'Outlook Quarterly 5+7'!D$4)</f>
        <v>29.75</v>
      </c>
      <c r="E16" s="8">
        <f>SUMIFS('Outlook 5+7'!$B16:$M16,'Outlook 5+7'!$B$185:$M$185,'Outlook Quarterly 5+7'!E$4)</f>
        <v>38.25</v>
      </c>
      <c r="F16" s="8">
        <f t="shared" si="4"/>
        <v>76.691869014600684</v>
      </c>
      <c r="H16" s="14">
        <f>'Budget 2025'!N48</f>
        <v>127.5</v>
      </c>
      <c r="K16" s="32"/>
    </row>
    <row r="17" spans="1:11" s="2" customFormat="1" x14ac:dyDescent="0.35">
      <c r="A17" s="9" t="s">
        <v>20</v>
      </c>
      <c r="B17" s="11">
        <f>B5/B13</f>
        <v>12.27573854515135</v>
      </c>
      <c r="C17" s="11">
        <f t="shared" ref="C17:F17" si="5">C5/C13</f>
        <v>13.283065793859734</v>
      </c>
      <c r="D17" s="11">
        <f t="shared" si="5"/>
        <v>13.082926178632254</v>
      </c>
      <c r="E17" s="11">
        <f t="shared" si="5"/>
        <v>14.673938632625529</v>
      </c>
      <c r="F17" s="11">
        <f t="shared" si="5"/>
        <v>13.342225422730309</v>
      </c>
      <c r="H17" s="11">
        <f>'Budget 2025'!N17</f>
        <v>13.340067350464633</v>
      </c>
      <c r="K17" s="32"/>
    </row>
    <row r="18" spans="1:11" s="2" customFormat="1" x14ac:dyDescent="0.35">
      <c r="A18" s="9" t="s">
        <v>21</v>
      </c>
      <c r="B18" s="10">
        <f>SUMIFS('Outlook 5+7'!$B18:$M18,'Outlook 5+7'!$B$185:$M$185,'Outlook Quarterly 5+7'!B$4)</f>
        <v>398.64282296729493</v>
      </c>
      <c r="C18" s="10">
        <f>SUMIFS('Outlook 5+7'!$B18:$M18,'Outlook 5+7'!$B$185:$M$185,'Outlook Quarterly 5+7'!C$4)</f>
        <v>234.65911638642453</v>
      </c>
      <c r="D18" s="10">
        <f>SUMIFS('Outlook 5+7'!$B18:$M18,'Outlook 5+7'!$B$185:$M$185,'Outlook Quarterly 5+7'!D$4)</f>
        <v>246.65354786167586</v>
      </c>
      <c r="E18" s="10">
        <f>SUMIFS('Outlook 5+7'!$B18:$M18,'Outlook 5+7'!$B$185:$M$185,'Outlook Quarterly 5+7'!E$4)</f>
        <v>180.32390269058766</v>
      </c>
      <c r="F18" s="10">
        <f>SUM(B18:E18)</f>
        <v>1060.279389905983</v>
      </c>
      <c r="H18" s="10">
        <f>'Budget 2025'!N18</f>
        <v>1228.8031519784099</v>
      </c>
      <c r="K18" s="32"/>
    </row>
    <row r="19" spans="1:11" x14ac:dyDescent="0.35">
      <c r="A19" s="5" t="s">
        <v>60</v>
      </c>
      <c r="B19" s="30">
        <f>SUMPRODUCT('Outlook 5+7'!$B19:$D19,'Outlook 5+7'!$B$18:$D$18)/SUM('Outlook 5+7'!$B$18:$D$18)</f>
        <v>6165.9257086878761</v>
      </c>
      <c r="C19" s="8">
        <f>SUMPRODUCT('Outlook 5+7'!$E19:$G19,'Outlook 5+7'!$E$18:$G$18)/SUM('Outlook 5+7'!$E$18:$G$18)</f>
        <v>6099.7976359187933</v>
      </c>
      <c r="D19" s="8">
        <f>SUMPRODUCT('Outlook 5+7'!$H19:$J19,'Outlook 5+7'!$H$18:$J$18)/SUM('Outlook 5+7'!$H$18:$J$18)</f>
        <v>6287.8708178062525</v>
      </c>
      <c r="E19" s="8">
        <f>SUMPRODUCT('Outlook 5+7'!$K19:$M19,'Outlook 5+7'!$K$18:$M$18)/SUM('Outlook 5+7'!$K$18:$M$18)</f>
        <v>6293.8245302810074</v>
      </c>
      <c r="F19" s="14">
        <f>SUMPRODUCT(B19:E19,$B$18:$E$18)/SUM($B$18:$E$18)</f>
        <v>6201.4105570226475</v>
      </c>
      <c r="H19" s="8">
        <f>'Budget 2025'!N19</f>
        <v>6169.7769053579887</v>
      </c>
      <c r="K19" s="32"/>
    </row>
    <row r="20" spans="1:11" x14ac:dyDescent="0.35">
      <c r="A20" s="5" t="s">
        <v>22</v>
      </c>
      <c r="B20" s="31">
        <f>SUMPRODUCT('Outlook 5+7'!$B20:$D20,'Outlook 5+7'!$B$18:$D$18)/SUM('Outlook 5+7'!$B$18:$D$18)</f>
        <v>0.63594838314043822</v>
      </c>
      <c r="C20" s="7">
        <f>SUMPRODUCT('Outlook 5+7'!$E20:$G20,'Outlook 5+7'!$E$18:$G$18)/SUM('Outlook 5+7'!$E$18:$G$18)</f>
        <v>0.74177754240251537</v>
      </c>
      <c r="D20" s="7">
        <f>SUMPRODUCT('Outlook 5+7'!$H20:$J20,'Outlook 5+7'!$H$18:$J$18)/SUM('Outlook 5+7'!$H$18:$J$18)</f>
        <v>0.79978125458251259</v>
      </c>
      <c r="E20" s="7">
        <f>SUMPRODUCT('Outlook 5+7'!$K20:$M20,'Outlook 5+7'!$K$18:$M$18)/SUM('Outlook 5+7'!$K$18:$M$18)</f>
        <v>0.84262135916207537</v>
      </c>
      <c r="F20" s="15">
        <f>SUMPRODUCT(B20:E20,$B$18:$E$18)/SUM($B$18:$E$18)</f>
        <v>0.73263215780468083</v>
      </c>
      <c r="H20" s="7">
        <f>'Budget 2025'!N20</f>
        <v>0.81080180973763216</v>
      </c>
      <c r="K20" s="32"/>
    </row>
    <row r="21" spans="1:11" x14ac:dyDescent="0.35">
      <c r="A21" s="5" t="s">
        <v>23</v>
      </c>
      <c r="B21" s="31">
        <f>SUMPRODUCT('Outlook 5+7'!$B21:$D21,'Outlook 5+7'!$B$18:$D$18)/SUM('Outlook 5+7'!$B$18:$D$18)</f>
        <v>8.4258284465607183</v>
      </c>
      <c r="C21" s="7">
        <f>SUMPRODUCT('Outlook 5+7'!$E21:$G21,'Outlook 5+7'!$E$18:$G$18)/SUM('Outlook 5+7'!$E$18:$G$18)</f>
        <v>8.5943226138937057</v>
      </c>
      <c r="D21" s="7">
        <f>SUMPRODUCT('Outlook 5+7'!$H21:$J21,'Outlook 5+7'!$H$18:$J$18)/SUM('Outlook 5+7'!$H$18:$J$18)</f>
        <v>8.2643309592201533</v>
      </c>
      <c r="E21" s="7">
        <f>SUMPRODUCT('Outlook 5+7'!$K21:$M21,'Outlook 5+7'!$K$18:$M$18)/SUM('Outlook 5+7'!$K$18:$M$18)</f>
        <v>8.2097723430277174</v>
      </c>
      <c r="F21" s="15">
        <f>SUMPRODUCT(B21:E21,$B$18:$E$18)/SUM($B$18:$E$18)</f>
        <v>8.3888048884650139</v>
      </c>
      <c r="H21" s="7">
        <f>'Budget 2025'!N21</f>
        <v>8.3745644868486551</v>
      </c>
      <c r="K21" s="32"/>
    </row>
    <row r="22" spans="1:11" x14ac:dyDescent="0.35">
      <c r="A22" s="5" t="s">
        <v>24</v>
      </c>
      <c r="B22" s="31">
        <f>SUMPRODUCT('Outlook 5+7'!$B22:$D22,'Outlook 5+7'!$B$18:$D$18)/SUM('Outlook 5+7'!$B$18:$D$18)</f>
        <v>8.9485956835534957</v>
      </c>
      <c r="C22" s="7">
        <f>SUMPRODUCT('Outlook 5+7'!$E22:$G22,'Outlook 5+7'!$E$18:$G$18)/SUM('Outlook 5+7'!$E$18:$G$18)</f>
        <v>8.7949826571792133</v>
      </c>
      <c r="D22" s="7">
        <f>SUMPRODUCT('Outlook 5+7'!$H22:$J22,'Outlook 5+7'!$H$18:$J$18)/SUM('Outlook 5+7'!$H$18:$J$18)</f>
        <v>7.7539199581279155</v>
      </c>
      <c r="E22" s="7">
        <f>SUMPRODUCT('Outlook 5+7'!$K22:$M22,'Outlook 5+7'!$K$18:$M$18)/SUM('Outlook 5+7'!$K$18:$M$18)</f>
        <v>7.256366524588584</v>
      </c>
      <c r="F22" s="15">
        <f>SUMPRODUCT(B22:E22,$B$18:$E$18)/SUM($B$18:$E$18)</f>
        <v>8.3488791602486145</v>
      </c>
      <c r="H22" s="7">
        <f>'Budget 2025'!N22</f>
        <v>8.0403443049370615</v>
      </c>
      <c r="K22" s="32"/>
    </row>
    <row r="23" spans="1:11" x14ac:dyDescent="0.35">
      <c r="A23" s="5" t="s">
        <v>25</v>
      </c>
      <c r="B23" s="31">
        <f>SUMPRODUCT('Outlook 5+7'!$B23:$D23,'Outlook 5+7'!$B$18:$D$18)/SUM('Outlook 5+7'!$B$18:$D$18)</f>
        <v>11.704988829718115</v>
      </c>
      <c r="C23" s="7">
        <f>SUMPRODUCT('Outlook 5+7'!$E23:$G23,'Outlook 5+7'!$E$18:$G$18)/SUM('Outlook 5+7'!$E$18:$G$18)</f>
        <v>12.736930498752136</v>
      </c>
      <c r="D23" s="7">
        <f>SUMPRODUCT('Outlook 5+7'!$H23:$J23,'Outlook 5+7'!$H$18:$J$18)/SUM('Outlook 5+7'!$H$18:$J$18)</f>
        <v>12.779282276968495</v>
      </c>
      <c r="E23" s="7">
        <f>SUMPRODUCT('Outlook 5+7'!$K23:$M23,'Outlook 5+7'!$K$18:$M$18)/SUM('Outlook 5+7'!$K$18:$M$18)</f>
        <v>12.281728843429164</v>
      </c>
      <c r="F23" s="15">
        <f>SUMPRODUCT(B23:E23,$B$18:$E$18)/SUM($B$18:$E$18)</f>
        <v>12.281377304638015</v>
      </c>
      <c r="H23" s="7">
        <f>'Budget 2025'!N23</f>
        <v>13.065706623777643</v>
      </c>
      <c r="K23" s="32"/>
    </row>
    <row r="24" spans="1:11" s="2" customFormat="1" x14ac:dyDescent="0.35">
      <c r="A24" s="9" t="s">
        <v>26</v>
      </c>
      <c r="B24" s="10">
        <f>SUMIFS('Outlook 5+7'!$B24:$M24,'Outlook 5+7'!$B$185:$M$185,'Outlook Quarterly 5+7'!B$4)</f>
        <v>169.43506742037897</v>
      </c>
      <c r="C24" s="10">
        <f>SUMIFS('Outlook 5+7'!$B24:$M24,'Outlook 5+7'!$B$185:$M$185,'Outlook Quarterly 5+7'!C$4)</f>
        <v>141.72964009734665</v>
      </c>
      <c r="D24" s="10">
        <f>SUMIFS('Outlook 5+7'!$B24:$M24,'Outlook 5+7'!$B$185:$M$185,'Outlook Quarterly 5+7'!D$4)</f>
        <v>217.4807195894669</v>
      </c>
      <c r="E24" s="10">
        <f>SUMIFS('Outlook 5+7'!$B24:$M24,'Outlook 5+7'!$B$185:$M$185,'Outlook Quarterly 5+7'!E$4)</f>
        <v>141.0751829868243</v>
      </c>
      <c r="F24" s="10">
        <f>SUM(B24:E24)</f>
        <v>669.72061009401682</v>
      </c>
      <c r="H24" s="10">
        <f>'Budget 2025'!N24</f>
        <v>633.69684806163377</v>
      </c>
      <c r="K24" s="32"/>
    </row>
    <row r="25" spans="1:11" x14ac:dyDescent="0.35">
      <c r="A25" s="5" t="s">
        <v>60</v>
      </c>
      <c r="B25" s="30">
        <f>SUMPRODUCT('Outlook 5+7'!$B25:$D25,'Outlook 5+7'!$B$24:$D$24)/SUM('Outlook 5+7'!$B$24:$D$24)</f>
        <v>5965.8963934410449</v>
      </c>
      <c r="C25" s="8">
        <f>SUMPRODUCT('Outlook 5+7'!$E25:$G25,'Outlook 5+7'!$E$24:$G$24)/SUM('Outlook 5+7'!$E$24:$G$24)</f>
        <v>5915.4340049588154</v>
      </c>
      <c r="D25" s="8">
        <f>SUMPRODUCT('Outlook 5+7'!$H25:$J25,'Outlook 5+7'!$H$24:$J$24)/SUM('Outlook 5+7'!$H$24:$J$24)</f>
        <v>5964.1504255578848</v>
      </c>
      <c r="E25" s="8">
        <f>SUMPRODUCT('Outlook 5+7'!$K25:$M25,'Outlook 5+7'!$K$24:$M$24)/SUM('Outlook 5+7'!$K$24:$M$24)</f>
        <v>5872.4762664042273</v>
      </c>
      <c r="F25" s="14">
        <f>SUMPRODUCT(B25:E25,$B$24:$E$24)/SUM($B$24:$E$24)</f>
        <v>5934.9715693967137</v>
      </c>
      <c r="H25" s="8">
        <f>'Budget 2025'!N25</f>
        <v>5965.7827396699631</v>
      </c>
      <c r="K25" s="32"/>
    </row>
    <row r="26" spans="1:11" x14ac:dyDescent="0.35">
      <c r="A26" s="5" t="s">
        <v>22</v>
      </c>
      <c r="B26" s="31">
        <f>SUMPRODUCT('Outlook 5+7'!$B26:$D26,'Outlook 5+7'!$B$24:$D$24)/SUM('Outlook 5+7'!$B$24:$D$24)</f>
        <v>2.1512944350251231</v>
      </c>
      <c r="C26" s="7">
        <f>SUMPRODUCT('Outlook 5+7'!$E26:$G26,'Outlook 5+7'!$E$24:$G$24)/SUM('Outlook 5+7'!$E$24:$G$24)</f>
        <v>2.3561350727022403</v>
      </c>
      <c r="D26" s="7">
        <f>SUMPRODUCT('Outlook 5+7'!$H26:$J26,'Outlook 5+7'!$H$24:$J$24)/SUM('Outlook 5+7'!$H$24:$J$24)</f>
        <v>2.6904904406269323</v>
      </c>
      <c r="E26" s="7">
        <f>SUMPRODUCT('Outlook 5+7'!$K26:$M26,'Outlook 5+7'!$K$24:$M$24)/SUM('Outlook 5+7'!$K$24:$M$24)</f>
        <v>2.6595360832291322</v>
      </c>
      <c r="F26" s="15">
        <f>SUMPRODUCT(B26:E26,$B$24:$E$24)/SUM($B$24:$E$24)</f>
        <v>2.4767988399808543</v>
      </c>
      <c r="H26" s="7">
        <f>'Budget 2025'!N26</f>
        <v>2.5790489447985023</v>
      </c>
      <c r="K26" s="32"/>
    </row>
    <row r="27" spans="1:11" x14ac:dyDescent="0.35">
      <c r="A27" s="5" t="s">
        <v>23</v>
      </c>
      <c r="B27" s="31">
        <f>SUMPRODUCT('Outlook 5+7'!$B27:$D27,'Outlook 5+7'!$B$24:$D$24)/SUM('Outlook 5+7'!$B$24:$D$24)</f>
        <v>11.823331516107293</v>
      </c>
      <c r="C27" s="7">
        <f>SUMPRODUCT('Outlook 5+7'!$E27:$G27,'Outlook 5+7'!$E$24:$G$24)/SUM('Outlook 5+7'!$E$24:$G$24)</f>
        <v>12.895141895552522</v>
      </c>
      <c r="D27" s="7">
        <f>SUMPRODUCT('Outlook 5+7'!$H27:$J27,'Outlook 5+7'!$H$24:$J$24)/SUM('Outlook 5+7'!$H$24:$J$24)</f>
        <v>13.753211855093486</v>
      </c>
      <c r="E27" s="7">
        <f>SUMPRODUCT('Outlook 5+7'!$K27:$M27,'Outlook 5+7'!$K$24:$M$24)/SUM('Outlook 5+7'!$K$24:$M$24)</f>
        <v>15.180928987829171</v>
      </c>
      <c r="F27" s="15">
        <f>SUMPRODUCT(B27:E27,$B$24:$E$24)/SUM($B$24:$E$24)</f>
        <v>13.384120785752399</v>
      </c>
      <c r="H27" s="7">
        <f>'Budget 2025'!N27</f>
        <v>13.960595439757462</v>
      </c>
      <c r="K27" s="32"/>
    </row>
    <row r="28" spans="1:11" x14ac:dyDescent="0.35">
      <c r="A28" s="5" t="s">
        <v>24</v>
      </c>
      <c r="B28" s="31">
        <f>SUMPRODUCT('Outlook 5+7'!$B28:$D28,'Outlook 5+7'!$B$24:$D$24)/SUM('Outlook 5+7'!$B$24:$D$24)</f>
        <v>7.4970729359287187</v>
      </c>
      <c r="C28" s="7">
        <f>SUMPRODUCT('Outlook 5+7'!$E28:$G28,'Outlook 5+7'!$E$24:$G$24)/SUM('Outlook 5+7'!$E$24:$G$24)</f>
        <v>7.078542580294906</v>
      </c>
      <c r="D28" s="7">
        <f>SUMPRODUCT('Outlook 5+7'!$H28:$J28,'Outlook 5+7'!$H$24:$J$24)/SUM('Outlook 5+7'!$H$24:$J$24)</f>
        <v>6.8361147859506675</v>
      </c>
      <c r="E28" s="7">
        <f>SUMPRODUCT('Outlook 5+7'!$K28:$M28,'Outlook 5+7'!$K$24:$M$24)/SUM('Outlook 5+7'!$K$24:$M$24)</f>
        <v>7.5222231955769887</v>
      </c>
      <c r="F28" s="15">
        <f>SUMPRODUCT(B28:E28,$B$24:$E$24)/SUM($B$24:$E$24)</f>
        <v>7.1991640314386958</v>
      </c>
      <c r="H28" s="7">
        <f>'Budget 2025'!N28</f>
        <v>6.7439986369460003</v>
      </c>
      <c r="K28" s="32"/>
    </row>
    <row r="29" spans="1:11" x14ac:dyDescent="0.35">
      <c r="A29" s="5" t="s">
        <v>25</v>
      </c>
      <c r="B29" s="31">
        <f>SUMPRODUCT('Outlook 5+7'!$B29:$D29,'Outlook 5+7'!$B$24:$D$24)/SUM('Outlook 5+7'!$B$24:$D$24)</f>
        <v>11.361644829819818</v>
      </c>
      <c r="C29" s="7">
        <f>SUMPRODUCT('Outlook 5+7'!$E29:$G29,'Outlook 5+7'!$E$24:$G$24)/SUM('Outlook 5+7'!$E$24:$G$24)</f>
        <v>11.339033078219334</v>
      </c>
      <c r="D29" s="7">
        <f>SUMPRODUCT('Outlook 5+7'!$H29:$J29,'Outlook 5+7'!$H$24:$J$24)/SUM('Outlook 5+7'!$H$24:$J$24)</f>
        <v>11.861477104791247</v>
      </c>
      <c r="E29" s="7">
        <f>SUMPRODUCT('Outlook 5+7'!$K29:$M29,'Outlook 5+7'!$K$24:$M$24)/SUM('Outlook 5+7'!$K$24:$M$24)</f>
        <v>12.547585514417564</v>
      </c>
      <c r="F29" s="15">
        <f>SUMPRODUCT(B29:E29,$B$24:$E$24)/SUM($B$24:$E$24)</f>
        <v>11.768987716387651</v>
      </c>
      <c r="H29" s="7">
        <f>'Budget 2025'!N29</f>
        <v>11.769360955786579</v>
      </c>
      <c r="K29" s="32"/>
    </row>
    <row r="30" spans="1:11" s="2" customFormat="1" x14ac:dyDescent="0.35">
      <c r="A30" s="9" t="s">
        <v>27</v>
      </c>
      <c r="B30" s="10">
        <f>SUMIFS('Outlook 5+7'!$B30:$M30,'Outlook 5+7'!$B$185:$M$185,'Outlook Quarterly 5+7'!B$4)</f>
        <v>17.998534950640156</v>
      </c>
      <c r="C30" s="10">
        <f>SUMIFS('Outlook 5+7'!$B30:$M30,'Outlook 5+7'!$B$185:$M$185,'Outlook Quarterly 5+7'!C$4)</f>
        <v>22.349309057792695</v>
      </c>
      <c r="D30" s="10">
        <f>SUMIFS('Outlook 5+7'!$B30:$M30,'Outlook 5+7'!$B$185:$M$185,'Outlook Quarterly 5+7'!D$4)</f>
        <v>0</v>
      </c>
      <c r="E30" s="10">
        <f>SUMIFS('Outlook 5+7'!$B30:$M30,'Outlook 5+7'!$B$185:$M$185,'Outlook Quarterly 5+7'!E$4)</f>
        <v>0</v>
      </c>
      <c r="F30" s="10">
        <f>SUM(B30:E30)</f>
        <v>40.347844008432851</v>
      </c>
      <c r="H30" s="10">
        <f>'Budget 2025'!N30</f>
        <v>13.639935932123354</v>
      </c>
      <c r="K30" s="32"/>
    </row>
    <row r="31" spans="1:11" x14ac:dyDescent="0.35">
      <c r="A31" s="5" t="s">
        <v>60</v>
      </c>
      <c r="B31" s="30">
        <f>SUMPRODUCT('Outlook 5+7'!$B31:$D31,'Outlook 5+7'!$B$30:$D$30)/SUM('Outlook 5+7'!$B$30:$D$30)</f>
        <v>5860.2841598568384</v>
      </c>
      <c r="C31" s="8">
        <f>SUMPRODUCT('Outlook 5+7'!$E31:$G31,'Outlook 5+7'!$E$30:$G$30)/SUM('Outlook 5+7'!$E$30:$G$30)</f>
        <v>5968.5561023146893</v>
      </c>
      <c r="D31" s="7">
        <f>IFERROR(SUMPRODUCT('Outlook 5+7'!$H31:$J31,'Outlook 5+7'!$H$30:$J$30)/SUM('Outlook 5+7'!$H$30:$J$30),0)</f>
        <v>0</v>
      </c>
      <c r="E31" s="8">
        <f>IFERROR(SUMPRODUCT('Outlook 5+7'!$K31:$M31,'Outlook 5+7'!$K$30:$M$30)/SUM('Outlook 5+7'!$K$30:$M$30),0)</f>
        <v>0</v>
      </c>
      <c r="F31" s="14">
        <f>SUMPRODUCT(B31:E31,$B$30:$E$30)/SUM($B$30:$E$30)</f>
        <v>5920.2577015353554</v>
      </c>
      <c r="H31" s="8">
        <f>'Budget 2025'!N31</f>
        <v>5822.4314107916898</v>
      </c>
      <c r="K31" s="32"/>
    </row>
    <row r="32" spans="1:11" x14ac:dyDescent="0.35">
      <c r="A32" s="5" t="s">
        <v>22</v>
      </c>
      <c r="B32" s="31">
        <f>SUMPRODUCT('Outlook 5+7'!$B32:$D32,'Outlook 5+7'!$B$30:$D$30)/SUM('Outlook 5+7'!$B$30:$D$30)</f>
        <v>0.92078055205593867</v>
      </c>
      <c r="C32" s="7">
        <f>SUMPRODUCT('Outlook 5+7'!$E32:$G32,'Outlook 5+7'!$E$30:$G$30)/SUM('Outlook 5+7'!$E$30:$G$30)</f>
        <v>0.90243240485182052</v>
      </c>
      <c r="D32" s="7">
        <f>IFERROR(SUMPRODUCT('Outlook 5+7'!$H32:$J32,'Outlook 5+7'!$H$30:$J$30)/SUM('Outlook 5+7'!$H$30:$J$30),0)</f>
        <v>0</v>
      </c>
      <c r="E32" s="7">
        <f>IFERROR(SUMPRODUCT('Outlook 5+7'!$K32:$M32,'Outlook 5+7'!$K$30:$M$30)/SUM('Outlook 5+7'!$K$30:$M$30),0)</f>
        <v>0</v>
      </c>
      <c r="F32" s="15">
        <f>SUMPRODUCT(B32:E32,$B$30:$E$30)/SUM($B$30:$E$30)</f>
        <v>0.91061722307070214</v>
      </c>
      <c r="H32" s="7">
        <f>'Budget 2025'!N32</f>
        <v>0.90072278104426418</v>
      </c>
      <c r="K32" s="32"/>
    </row>
    <row r="33" spans="1:11" x14ac:dyDescent="0.35">
      <c r="A33" s="5" t="s">
        <v>23</v>
      </c>
      <c r="B33" s="31">
        <f>SUMPRODUCT('Outlook 5+7'!$B33:$D33,'Outlook 5+7'!$B$30:$D$30)/SUM('Outlook 5+7'!$B$30:$D$30)</f>
        <v>7.1845522059903786</v>
      </c>
      <c r="C33" s="7">
        <f>SUMPRODUCT('Outlook 5+7'!$E33:$G33,'Outlook 5+7'!$E$30:$G$30)/SUM('Outlook 5+7'!$E$30:$G$30)</f>
        <v>6.2976415404322301</v>
      </c>
      <c r="D33" s="7">
        <f>IFERROR(SUMPRODUCT('Outlook 5+7'!$H33:$J33,'Outlook 5+7'!$H$30:$J$30)/SUM('Outlook 5+7'!$H$30:$J$30),0)</f>
        <v>0</v>
      </c>
      <c r="E33" s="7">
        <f>IFERROR(SUMPRODUCT('Outlook 5+7'!$K33:$M33,'Outlook 5+7'!$K$30:$M$30)/SUM('Outlook 5+7'!$K$30:$M$30),0)</f>
        <v>0</v>
      </c>
      <c r="F33" s="15">
        <f>SUMPRODUCT(B33:E33,$B$30:$E$30)/SUM($B$30:$E$30)</f>
        <v>6.6932783583203808</v>
      </c>
      <c r="H33" s="7">
        <f>'Budget 2025'!N33</f>
        <v>8.5977728246687075</v>
      </c>
      <c r="K33" s="32"/>
    </row>
    <row r="34" spans="1:11" x14ac:dyDescent="0.35">
      <c r="A34" s="5" t="s">
        <v>24</v>
      </c>
      <c r="B34" s="31">
        <f>SUMPRODUCT('Outlook 5+7'!$B34:$D34,'Outlook 5+7'!$B$30:$D$30)/SUM('Outlook 5+7'!$B$30:$D$30)</f>
        <v>11.016359658939894</v>
      </c>
      <c r="C34" s="7">
        <f>SUMPRODUCT('Outlook 5+7'!$E34:$G34,'Outlook 5+7'!$E$30:$G$30)/SUM('Outlook 5+7'!$E$30:$G$30)</f>
        <v>11.639268385983737</v>
      </c>
      <c r="D34" s="7">
        <f>IFERROR(SUMPRODUCT('Outlook 5+7'!$H34:$J34,'Outlook 5+7'!$H$30:$J$30)/SUM('Outlook 5+7'!$H$30:$J$30),0)</f>
        <v>0</v>
      </c>
      <c r="E34" s="7">
        <f>IFERROR(SUMPRODUCT('Outlook 5+7'!$K34:$M34,'Outlook 5+7'!$K$30:$M$30)/SUM('Outlook 5+7'!$K$30:$M$30),0)</f>
        <v>0</v>
      </c>
      <c r="F34" s="15">
        <f>SUMPRODUCT(B34:E34,$B$30:$E$30)/SUM($B$30:$E$30)</f>
        <v>11.361398656626843</v>
      </c>
      <c r="H34" s="7">
        <f>'Budget 2025'!N34</f>
        <v>11.354385937535314</v>
      </c>
      <c r="K34" s="32"/>
    </row>
    <row r="35" spans="1:11" x14ac:dyDescent="0.35">
      <c r="A35" s="5" t="s">
        <v>25</v>
      </c>
      <c r="B35" s="31">
        <f>SUMPRODUCT('Outlook 5+7'!$B35:$D35,'Outlook 5+7'!$B$30:$D$30)/SUM('Outlook 5+7'!$B$30:$D$30)</f>
        <v>14.501868846947692</v>
      </c>
      <c r="C35" s="7">
        <f>SUMPRODUCT('Outlook 5+7'!$E35:$G35,'Outlook 5+7'!$E$30:$G$30)/SUM('Outlook 5+7'!$E$30:$G$30)</f>
        <v>14.874497661001538</v>
      </c>
      <c r="D35" s="7">
        <f>IFERROR(SUMPRODUCT('Outlook 5+7'!$H35:$J35,'Outlook 5+7'!$H$30:$J$30)/SUM('Outlook 5+7'!$H$30:$J$30),0)</f>
        <v>0</v>
      </c>
      <c r="E35" s="7">
        <f>IFERROR(SUMPRODUCT('Outlook 5+7'!$K35:$M35,'Outlook 5+7'!$K$30:$M$30)/SUM('Outlook 5+7'!$K$30:$M$30),0)</f>
        <v>0</v>
      </c>
      <c r="F35" s="15">
        <f>SUMPRODUCT(B35:E35,$B$30:$E$30)/SUM($B$30:$E$30)</f>
        <v>14.708273841657883</v>
      </c>
      <c r="H35" s="7">
        <f>'Budget 2025'!N35</f>
        <v>16.354385937535316</v>
      </c>
      <c r="K35" s="32"/>
    </row>
    <row r="36" spans="1:11" s="2" customFormat="1" x14ac:dyDescent="0.35">
      <c r="A36" s="9" t="s">
        <v>28</v>
      </c>
      <c r="B36" s="10">
        <f>SUMIFS('Outlook 5+7'!$B36:$M36,'Outlook 5+7'!$B$185:$M$185,'Outlook Quarterly 5+7'!B$4)</f>
        <v>48.098998542541892</v>
      </c>
      <c r="C36" s="10">
        <f>SUMIFS('Outlook 5+7'!$B36:$M36,'Outlook 5+7'!$B$185:$M$185,'Outlook Quarterly 5+7'!C$4)</f>
        <v>95.579107394054219</v>
      </c>
      <c r="D36" s="10">
        <f>SUMIFS('Outlook 5+7'!$B36:$M36,'Outlook 5+7'!$B$185:$M$185,'Outlook Quarterly 5+7'!D$4)</f>
        <v>145.60218946993368</v>
      </c>
      <c r="E36" s="10">
        <f>SUMIFS('Outlook 5+7'!$B36:$M36,'Outlook 5+7'!$B$185:$M$185,'Outlook Quarterly 5+7'!E$4)</f>
        <v>221.6399478777831</v>
      </c>
      <c r="F36" s="10">
        <f>SUM(B36:E36)</f>
        <v>510.92024328431296</v>
      </c>
      <c r="H36" s="10">
        <f>'Budget 2025'!N36</f>
        <v>422.7154641342064</v>
      </c>
      <c r="K36" s="32"/>
    </row>
    <row r="37" spans="1:11" x14ac:dyDescent="0.35">
      <c r="A37" s="5" t="s">
        <v>60</v>
      </c>
      <c r="B37" s="30">
        <f>SUMPRODUCT('Outlook 5+7'!$B37:$D37,'Outlook 5+7'!$B$36:$D$36)/SUM('Outlook 5+7'!$B$36:$D$36)</f>
        <v>5977.8247179013133</v>
      </c>
      <c r="C37" s="8">
        <f>SUMPRODUCT('Outlook 5+7'!$E37:$G37,'Outlook 5+7'!$E$36:$G$36)/SUM('Outlook 5+7'!$E$36:$G$36)</f>
        <v>5988.4395984572147</v>
      </c>
      <c r="D37" s="8">
        <f>IFERROR(SUMPRODUCT('Outlook 5+7'!$H37:$J37,'Outlook 5+7'!$H$36:$J$36)/SUM('Outlook 5+7'!$H$36:$J$36),0)</f>
        <v>6012.4578536169256</v>
      </c>
      <c r="E37" s="8">
        <f>IFERROR(SUMPRODUCT('Outlook 5+7'!$K37:$M37,'Outlook 5+7'!$K$36:$M$36)/SUM('Outlook 5+7'!$K$36:$M$36),0)</f>
        <v>6021.06177463107</v>
      </c>
      <c r="F37" s="14">
        <f>SUMPRODUCT(B37:E37,$B$36:$E$36)/SUM($B$36:$E$36)</f>
        <v>6008.4366977603659</v>
      </c>
      <c r="H37" s="8">
        <f>'Budget 2025'!N37</f>
        <v>6013.6725198079248</v>
      </c>
      <c r="K37" s="32"/>
    </row>
    <row r="38" spans="1:11" x14ac:dyDescent="0.35">
      <c r="A38" s="5" t="s">
        <v>22</v>
      </c>
      <c r="B38" s="31">
        <f>SUMPRODUCT('Outlook 5+7'!$B38:$D38,'Outlook 5+7'!$B$36:$D$36)/SUM('Outlook 5+7'!$B$36:$D$36)</f>
        <v>1.4343487336501703</v>
      </c>
      <c r="C38" s="7">
        <f>SUMPRODUCT('Outlook 5+7'!$E38:$G38,'Outlook 5+7'!$E$36:$G$36)/SUM('Outlook 5+7'!$E$36:$G$36)</f>
        <v>1.5235953917244227</v>
      </c>
      <c r="D38" s="7">
        <f>IFERROR(SUMPRODUCT('Outlook 5+7'!$H38:$J38,'Outlook 5+7'!$H$36:$J$36)/SUM('Outlook 5+7'!$H$36:$J$36),0)</f>
        <v>1.5755070557568382</v>
      </c>
      <c r="E38" s="7">
        <f>IFERROR(SUMPRODUCT('Outlook 5+7'!$K38:$M38,'Outlook 5+7'!$K$36:$M$36)/SUM('Outlook 5+7'!$K$36:$M$36),0)</f>
        <v>1.5766841926064001</v>
      </c>
      <c r="F38" s="15">
        <f>SUMPRODUCT(B38:E38,$B$36:$E$36)/SUM($B$36:$E$36)</f>
        <v>1.5530175497294587</v>
      </c>
      <c r="H38" s="7">
        <f>'Budget 2025'!N38</f>
        <v>1.5594733437535224</v>
      </c>
      <c r="K38" s="32"/>
    </row>
    <row r="39" spans="1:11" x14ac:dyDescent="0.35">
      <c r="A39" s="5" t="s">
        <v>23</v>
      </c>
      <c r="B39" s="31">
        <f>SUMPRODUCT('Outlook 5+7'!$B39:$D39,'Outlook 5+7'!$B$36:$D$36)/SUM('Outlook 5+7'!$B$36:$D$36)</f>
        <v>6.0426735184306386</v>
      </c>
      <c r="C39" s="7">
        <f>SUMPRODUCT('Outlook 5+7'!$E39:$G39,'Outlook 5+7'!$E$36:$G$36)/SUM('Outlook 5+7'!$E$36:$G$36)</f>
        <v>5.6933536075085893</v>
      </c>
      <c r="D39" s="7">
        <f>IFERROR(SUMPRODUCT('Outlook 5+7'!$H39:$J39,'Outlook 5+7'!$H$36:$J$36)/SUM('Outlook 5+7'!$H$36:$J$36),0)</f>
        <v>5.3407952410550408</v>
      </c>
      <c r="E39" s="7">
        <f>IFERROR(SUMPRODUCT('Outlook 5+7'!$K39:$M39,'Outlook 5+7'!$K$36:$M$36)/SUM('Outlook 5+7'!$K$36:$M$36),0)</f>
        <v>5.3335047481320501</v>
      </c>
      <c r="F39" s="15">
        <f>SUMPRODUCT(B39:E39,$B$36:$E$36)/SUM($B$36:$E$36)</f>
        <v>5.4696626966010777</v>
      </c>
      <c r="H39" s="7">
        <f>'Budget 2025'!N39</f>
        <v>5.3287414331663765</v>
      </c>
      <c r="K39" s="32"/>
    </row>
    <row r="40" spans="1:11" x14ac:dyDescent="0.35">
      <c r="A40" s="5" t="s">
        <v>24</v>
      </c>
      <c r="B40" s="31">
        <f>SUMPRODUCT('Outlook 5+7'!$B40:$D40,'Outlook 5+7'!$B$36:$D$36)/SUM('Outlook 5+7'!$B$36:$D$36)</f>
        <v>11.610246830825604</v>
      </c>
      <c r="C40" s="7">
        <f>SUMPRODUCT('Outlook 5+7'!$E40:$G40,'Outlook 5+7'!$E$36:$G$36)/SUM('Outlook 5+7'!$E$36:$G$36)</f>
        <v>11.526974520412477</v>
      </c>
      <c r="D40" s="7">
        <f>IFERROR(SUMPRODUCT('Outlook 5+7'!$H40:$J40,'Outlook 5+7'!$H$36:$J$36)/SUM('Outlook 5+7'!$H$36:$J$36),0)</f>
        <v>10.414677908375204</v>
      </c>
      <c r="E40" s="7">
        <f>IFERROR(SUMPRODUCT('Outlook 5+7'!$K40:$M40,'Outlook 5+7'!$K$36:$M$36)/SUM('Outlook 5+7'!$K$36:$M$36),0)</f>
        <v>10.119838999763859</v>
      </c>
      <c r="F40" s="15">
        <f>SUMPRODUCT(B40:E40,$B$36:$E$36)/SUM($B$36:$E$36)</f>
        <v>10.607408390582084</v>
      </c>
      <c r="H40" s="7">
        <f>'Budget 2025'!N40</f>
        <v>10.279206642306004</v>
      </c>
      <c r="K40" s="32"/>
    </row>
    <row r="41" spans="1:11" x14ac:dyDescent="0.35">
      <c r="A41" s="5" t="s">
        <v>25</v>
      </c>
      <c r="B41" s="31">
        <f>SUMPRODUCT('Outlook 5+7'!$B41:$D41,'Outlook 5+7'!$B$36:$D$36)/SUM('Outlook 5+7'!$B$36:$D$36)</f>
        <v>14.141402138177799</v>
      </c>
      <c r="C41" s="7">
        <f>SUMPRODUCT('Outlook 5+7'!$E41:$G41,'Outlook 5+7'!$E$36:$G$36)/SUM('Outlook 5+7'!$E$36:$G$36)</f>
        <v>14.585640804831954</v>
      </c>
      <c r="D41" s="7">
        <f>IFERROR(SUMPRODUCT('Outlook 5+7'!$H41:$J41,'Outlook 5+7'!$H$36:$J$36)/SUM('Outlook 5+7'!$H$36:$J$36),0)</f>
        <v>15.414677908375205</v>
      </c>
      <c r="E41" s="7">
        <f>IFERROR(SUMPRODUCT('Outlook 5+7'!$K41:$M41,'Outlook 5+7'!$K$36:$M$36)/SUM('Outlook 5+7'!$K$36:$M$36),0)</f>
        <v>15.119838999763857</v>
      </c>
      <c r="F41" s="15">
        <f>SUMPRODUCT(B41:E41,$B$36:$E$36)/SUM($B$36:$E$36)</f>
        <v>15.011816603091949</v>
      </c>
      <c r="H41" s="7">
        <f>'Budget 2025'!N41</f>
        <v>15.279206642306002</v>
      </c>
      <c r="K41" s="32"/>
    </row>
    <row r="42" spans="1:11" s="2" customFormat="1" x14ac:dyDescent="0.35">
      <c r="A42" s="9" t="s">
        <v>29</v>
      </c>
      <c r="B42" s="10">
        <f>SUMIFS('Outlook 5+7'!$B42:$M42,'Outlook 5+7'!$B$185:$M$185,'Outlook Quarterly 5+7'!B$4)</f>
        <v>1064.433182119144</v>
      </c>
      <c r="C42" s="10">
        <f>SUMIFS('Outlook 5+7'!$B42:$M42,'Outlook 5+7'!$B$185:$M$185,'Outlook Quarterly 5+7'!C$4)</f>
        <v>1152.6848605709954</v>
      </c>
      <c r="D42" s="10">
        <f>SUMIFS('Outlook 5+7'!$B42:$M42,'Outlook 5+7'!$B$185:$M$185,'Outlook Quarterly 5+7'!D$4)</f>
        <v>1331.763543120418</v>
      </c>
      <c r="E42" s="10">
        <f>SUMIFS('Outlook 5+7'!$B42:$M42,'Outlook 5+7'!$B$185:$M$185,'Outlook Quarterly 5+7'!E$4)</f>
        <v>1240.89895790331</v>
      </c>
      <c r="F42" s="10">
        <f>SUM(B42:E42)</f>
        <v>4789.7805437138668</v>
      </c>
      <c r="H42" s="10">
        <f>'Budget 2025'!N42</f>
        <v>4673.6446000430515</v>
      </c>
      <c r="K42" s="32"/>
    </row>
    <row r="43" spans="1:11" x14ac:dyDescent="0.35">
      <c r="A43" s="5" t="s">
        <v>60</v>
      </c>
      <c r="B43" s="30">
        <f>SUMPRODUCT('Outlook 5+7'!$B43:$D43,'Outlook 5+7'!$B$42:$D$42)/SUM('Outlook 5+7'!$B$42:$D$42)</f>
        <v>5997.3733373177647</v>
      </c>
      <c r="C43" s="8">
        <f>SUMPRODUCT('Outlook 5+7'!$E43:$G43,'Outlook 5+7'!$E$42:$G$42)/SUM('Outlook 5+7'!$E$42:$G$42)</f>
        <v>5946.0269909926483</v>
      </c>
      <c r="D43" s="8">
        <f>IFERROR(SUMPRODUCT('Outlook 5+7'!$H43:$J43,'Outlook 5+7'!$H$42:$J$42)/SUM('Outlook 5+7'!$H$42:$J$42),0)</f>
        <v>5903.6742241510638</v>
      </c>
      <c r="E43" s="8">
        <f>IFERROR(SUMPRODUCT('Outlook 5+7'!$K43:$M43,'Outlook 5+7'!$K$42:$M$42)/SUM('Outlook 5+7'!$K$42:$M$42),0)</f>
        <v>5919.681523038048</v>
      </c>
      <c r="F43" s="14">
        <f>SUMPRODUCT(B43:E43,$B$42:$E$42)/SUM($B$42:$E$42)</f>
        <v>5938.8364361359336</v>
      </c>
      <c r="H43" s="8">
        <f>'Budget 2025'!N43</f>
        <v>5914.4155370661638</v>
      </c>
      <c r="K43" s="32"/>
    </row>
    <row r="44" spans="1:11" x14ac:dyDescent="0.35">
      <c r="A44" s="5" t="s">
        <v>22</v>
      </c>
      <c r="B44" s="31">
        <f>SUMPRODUCT('Outlook 5+7'!$B44:$D44,'Outlook 5+7'!$B$42:$D$42)/SUM('Outlook 5+7'!$B$42:$D$42)</f>
        <v>2.2888209271392426</v>
      </c>
      <c r="C44" s="7">
        <f>SUMPRODUCT('Outlook 5+7'!$E44:$G44,'Outlook 5+7'!$E$42:$G$42)/SUM('Outlook 5+7'!$E$42:$G$42)</f>
        <v>2.328962026067428</v>
      </c>
      <c r="D44" s="7">
        <f>IFERROR(SUMPRODUCT('Outlook 5+7'!$H44:$J44,'Outlook 5+7'!$H$42:$J$42)/SUM('Outlook 5+7'!$H$42:$J$42),0)</f>
        <v>2.4581363660569906</v>
      </c>
      <c r="E44" s="7">
        <f>IFERROR(SUMPRODUCT('Outlook 5+7'!$K44:$M44,'Outlook 5+7'!$K$42:$M$42)/SUM('Outlook 5+7'!$K$42:$M$42),0)</f>
        <v>2.4096549245987329</v>
      </c>
      <c r="F44" s="15">
        <f>SUMPRODUCT(B44:E44,$B$42:$E$42)/SUM($B$42:$E$42)</f>
        <v>2.376862736891781</v>
      </c>
      <c r="H44" s="7">
        <f>'Budget 2025'!N44</f>
        <v>2.4107218075517403</v>
      </c>
      <c r="K44" s="32"/>
    </row>
    <row r="45" spans="1:11" x14ac:dyDescent="0.35">
      <c r="A45" s="5" t="s">
        <v>23</v>
      </c>
      <c r="B45" s="31">
        <f>SUMPRODUCT('Outlook 5+7'!$B45:$D45,'Outlook 5+7'!$B$42:$D$42)/SUM('Outlook 5+7'!$B$42:$D$42)</f>
        <v>6.0177550518077734</v>
      </c>
      <c r="C45" s="7">
        <f>SUMPRODUCT('Outlook 5+7'!$E45:$G45,'Outlook 5+7'!$E$42:$G$42)/SUM('Outlook 5+7'!$E$42:$G$42)</f>
        <v>6.053331247593154</v>
      </c>
      <c r="D45" s="7">
        <f>IFERROR(SUMPRODUCT('Outlook 5+7'!$H45:$J45,'Outlook 5+7'!$H$42:$J$42)/SUM('Outlook 5+7'!$H$42:$J$42),0)</f>
        <v>5.7689881041497904</v>
      </c>
      <c r="E45" s="7">
        <f>IFERROR(SUMPRODUCT('Outlook 5+7'!$K45:$M45,'Outlook 5+7'!$K$42:$M$42)/SUM('Outlook 5+7'!$K$42:$M$42),0)</f>
        <v>5.7109106878329694</v>
      </c>
      <c r="F45" s="15">
        <f>SUMPRODUCT(B45:E45,$B$42:$E$42)/SUM($B$42:$E$42)</f>
        <v>5.8776539647712793</v>
      </c>
      <c r="H45" s="7">
        <f>'Budget 2025'!N45</f>
        <v>5.7199741396739743</v>
      </c>
      <c r="K45" s="32"/>
    </row>
    <row r="46" spans="1:11" x14ac:dyDescent="0.35">
      <c r="A46" s="5" t="s">
        <v>24</v>
      </c>
      <c r="B46" s="31">
        <f>SUMPRODUCT('Outlook 5+7'!$B46:$D46,'Outlook 5+7'!$B$42:$D$42)/SUM('Outlook 5+7'!$B$42:$D$42)</f>
        <v>11.358444781076861</v>
      </c>
      <c r="C46" s="7">
        <f>SUMPRODUCT('Outlook 5+7'!$E46:$G46,'Outlook 5+7'!$E$42:$G$42)/SUM('Outlook 5+7'!$E$42:$G$42)</f>
        <v>11.28008004242392</v>
      </c>
      <c r="D46" s="7">
        <f>IFERROR(SUMPRODUCT('Outlook 5+7'!$H46:$J46,'Outlook 5+7'!$H$42:$J$42)/SUM('Outlook 5+7'!$H$42:$J$42),0)</f>
        <v>10.521355965908937</v>
      </c>
      <c r="E46" s="7">
        <f>IFERROR(SUMPRODUCT('Outlook 5+7'!$K46:$M46,'Outlook 5+7'!$K$42:$M$42)/SUM('Outlook 5+7'!$K$42:$M$42),0)</f>
        <v>10.506837859423912</v>
      </c>
      <c r="F46" s="15">
        <f>SUMPRODUCT(B46:E46,$B$42:$E$42)/SUM($B$42:$E$42)</f>
        <v>10.886211797702861</v>
      </c>
      <c r="H46" s="7">
        <f>'Budget 2025'!N46</f>
        <v>10.558154609501265</v>
      </c>
      <c r="K46" s="32"/>
    </row>
    <row r="47" spans="1:11" x14ac:dyDescent="0.35">
      <c r="A47" s="5" t="s">
        <v>25</v>
      </c>
      <c r="B47" s="31">
        <f>SUMPRODUCT('Outlook 5+7'!$B47:$D47,'Outlook 5+7'!$B$42:$D$42)/SUM('Outlook 5+7'!$B$42:$D$42)</f>
        <v>13.608931024340414</v>
      </c>
      <c r="C47" s="7">
        <f>SUMPRODUCT('Outlook 5+7'!$E47:$G47,'Outlook 5+7'!$E$42:$G$42)/SUM('Outlook 5+7'!$E$42:$G$42)</f>
        <v>14.419255147749857</v>
      </c>
      <c r="D47" s="7">
        <f>IFERROR(SUMPRODUCT('Outlook 5+7'!$H47:$J47,'Outlook 5+7'!$H$42:$J$42)/SUM('Outlook 5+7'!$H$42:$J$42),0)</f>
        <v>15.52135596590894</v>
      </c>
      <c r="E47" s="7">
        <f>IFERROR(SUMPRODUCT('Outlook 5+7'!$K47:$M47,'Outlook 5+7'!$K$42:$M$42)/SUM('Outlook 5+7'!$K$42:$M$42),0)</f>
        <v>15.506837859423911</v>
      </c>
      <c r="F47" s="15">
        <f>SUMPRODUCT(B47:E47,$B$42:$E$42)/SUM($B$42:$E$42)</f>
        <v>14.827370308966231</v>
      </c>
      <c r="H47" s="7">
        <f>'Budget 2025'!N47</f>
        <v>15.558154609501264</v>
      </c>
      <c r="K47" s="32"/>
    </row>
    <row r="48" spans="1:11" s="2" customFormat="1" x14ac:dyDescent="0.35">
      <c r="A48" s="9" t="s">
        <v>68</v>
      </c>
      <c r="B48" s="10">
        <f>SUMIFS('Outlook 5+7'!$B48:$M48,'Outlook 5+7'!$B$185:$M$185,'Outlook Quarterly 5+7'!B$4)</f>
        <v>0</v>
      </c>
      <c r="C48" s="10">
        <f>SUMIFS('Outlook 5+7'!$B48:$M48,'Outlook 5+7'!$B$185:$M$185,'Outlook Quarterly 5+7'!C$4)</f>
        <v>4.4513689933863532</v>
      </c>
      <c r="D48" s="10">
        <f>SUMIFS('Outlook 5+7'!$B48:$M48,'Outlook 5+7'!$B$185:$M$185,'Outlook Quarterly 5+7'!D$4)</f>
        <v>21.25</v>
      </c>
      <c r="E48" s="10">
        <f>SUMIFS('Outlook 5+7'!$B48:$M48,'Outlook 5+7'!$B$185:$M$185,'Outlook Quarterly 5+7'!E$4)</f>
        <v>38.25</v>
      </c>
      <c r="F48" s="10">
        <f>SUM(B48:E48)</f>
        <v>63.951368993386353</v>
      </c>
      <c r="H48" s="10">
        <f>'Budget 2025'!N48</f>
        <v>127.5</v>
      </c>
      <c r="K48" s="32"/>
    </row>
    <row r="49" spans="1:11" x14ac:dyDescent="0.35">
      <c r="A49" s="5" t="s">
        <v>60</v>
      </c>
      <c r="B49" s="30">
        <f>IFERROR(SUMPRODUCT('Outlook 5+7'!$B49:$D49,'Outlook 5+7'!$B$48:$D$48)/SUM('Outlook 5+7'!$B$48:$D$48),0)</f>
        <v>0</v>
      </c>
      <c r="C49" s="8">
        <f>IFERROR(SUMPRODUCT('Outlook 5+7'!$E49:$G49,'Outlook 5+7'!$E$48:$G$48)/SUM('Outlook 5+7'!$E$48:$G$48),0)</f>
        <v>3183.8206179678364</v>
      </c>
      <c r="D49" s="8">
        <f>IFERROR(SUMPRODUCT('Outlook 5+7'!$H49:$J49,'Outlook 5+7'!$H$48:$J$48)/SUM('Outlook 5+7'!$H$48:$J$48),0)</f>
        <v>3146.0674157303374</v>
      </c>
      <c r="E49" s="8">
        <f>IFERROR(SUMPRODUCT('Outlook 5+7'!$K49:$M49,'Outlook 5+7'!$K$48:$M$48)/SUM('Outlook 5+7'!$K$48:$M$48),0)</f>
        <v>3146.0674157303374</v>
      </c>
      <c r="F49" s="14">
        <f>SUMPRODUCT(B49:E49,$B$48:$E$48)/SUM($B$48:$E$48)</f>
        <v>3148.6952474169179</v>
      </c>
      <c r="H49" s="8">
        <f>'Budget 2025'!N49</f>
        <v>3146.0674157303379</v>
      </c>
      <c r="K49" s="32"/>
    </row>
    <row r="50" spans="1:11" x14ac:dyDescent="0.35">
      <c r="A50" s="5" t="s">
        <v>22</v>
      </c>
      <c r="B50" s="31">
        <f>IFERROR(SUMPRODUCT('Outlook 5+7'!$B50:$D50,'Outlook 5+7'!$B$48:$D$48)/SUM('Outlook 5+7'!$B$48:$D$48),0)</f>
        <v>0</v>
      </c>
      <c r="C50" s="7">
        <f>IFERROR(SUMPRODUCT('Outlook 5+7'!$E50:$G50,'Outlook 5+7'!$E$48:$G$48)/SUM('Outlook 5+7'!$E$48:$G$48),0)</f>
        <v>1.9530341230596995</v>
      </c>
      <c r="D50" s="7">
        <f>IFERROR(SUMPRODUCT('Outlook 5+7'!$H50:$J50,'Outlook 5+7'!$H$48:$J$48)/SUM('Outlook 5+7'!$H$48:$J$48),0)</f>
        <v>2</v>
      </c>
      <c r="E50" s="7">
        <f>IFERROR(SUMPRODUCT('Outlook 5+7'!$K50:$M50,'Outlook 5+7'!$K$48:$M$48)/SUM('Outlook 5+7'!$K$48:$M$48),0)</f>
        <v>2</v>
      </c>
      <c r="F50" s="15">
        <f>SUMPRODUCT(B50:E50,$B$48:$E$48)/SUM($B$48:$E$48)</f>
        <v>1.9967309151993156</v>
      </c>
      <c r="H50" s="7">
        <f>'Budget 2025'!N50</f>
        <v>2</v>
      </c>
      <c r="K50" s="32"/>
    </row>
    <row r="51" spans="1:11" x14ac:dyDescent="0.35">
      <c r="A51" s="5" t="s">
        <v>23</v>
      </c>
      <c r="B51" s="31">
        <f>IFERROR(SUMPRODUCT('Outlook 5+7'!$B51:$D51,'Outlook 5+7'!$B$48:$D$48)/SUM('Outlook 5+7'!$B$48:$D$48),0)</f>
        <v>0</v>
      </c>
      <c r="C51" s="7">
        <f>IFERROR(SUMPRODUCT('Outlook 5+7'!$E51:$G51,'Outlook 5+7'!$E$48:$G$48)/SUM('Outlook 5+7'!$E$48:$G$48),0)</f>
        <v>39.287251577765474</v>
      </c>
      <c r="D51" s="7">
        <f>IFERROR(SUMPRODUCT('Outlook 5+7'!$H51:$J51,'Outlook 5+7'!$H$48:$J$48)/SUM('Outlook 5+7'!$H$48:$J$48),0)</f>
        <v>40</v>
      </c>
      <c r="E51" s="7">
        <f>IFERROR(SUMPRODUCT('Outlook 5+7'!$K51:$M51,'Outlook 5+7'!$K$48:$M$48)/SUM('Outlook 5+7'!$K$48:$M$48),0)</f>
        <v>40</v>
      </c>
      <c r="F51" s="15">
        <f>SUMPRODUCT(B51:E51,$B$48:$E$48)/SUM($B$48:$E$48)</f>
        <v>39.950388767640803</v>
      </c>
      <c r="H51" s="7">
        <f>'Budget 2025'!N51</f>
        <v>40</v>
      </c>
      <c r="K51" s="32"/>
    </row>
    <row r="52" spans="1:11" x14ac:dyDescent="0.35">
      <c r="A52" s="5" t="s">
        <v>24</v>
      </c>
      <c r="B52" s="31">
        <f>IFERROR(SUMPRODUCT('Outlook 5+7'!$B52:$D52,'Outlook 5+7'!$B$48:$D$48)/SUM('Outlook 5+7'!$B$48:$D$48),0)</f>
        <v>0</v>
      </c>
      <c r="C52" s="7">
        <f>IFERROR(SUMPRODUCT('Outlook 5+7'!$E52:$G52,'Outlook 5+7'!$E$48:$G$48)/SUM('Outlook 5+7'!$E$48:$G$48),0)</f>
        <v>11.046048527010333</v>
      </c>
      <c r="D52" s="7">
        <f>IFERROR(SUMPRODUCT('Outlook 5+7'!$H52:$J52,'Outlook 5+7'!$H$48:$J$48)/SUM('Outlook 5+7'!$H$48:$J$48),0)</f>
        <v>11</v>
      </c>
      <c r="E52" s="7">
        <f>IFERROR(SUMPRODUCT('Outlook 5+7'!$K52:$M52,'Outlook 5+7'!$K$48:$M$48)/SUM('Outlook 5+7'!$K$48:$M$48),0)</f>
        <v>11</v>
      </c>
      <c r="F52" s="15">
        <f>SUMPRODUCT(B52:E52,$B$48:$E$48)/SUM($B$48:$E$48)</f>
        <v>11.003205232171748</v>
      </c>
      <c r="H52" s="7">
        <f>'Budget 2025'!N52</f>
        <v>11</v>
      </c>
      <c r="K52" s="32"/>
    </row>
    <row r="53" spans="1:11" x14ac:dyDescent="0.35">
      <c r="A53" s="5" t="s">
        <v>25</v>
      </c>
      <c r="B53" s="31">
        <f>IFERROR(SUMPRODUCT('Outlook 5+7'!$B53:$D53,'Outlook 5+7'!$B$48:$D$48)/SUM('Outlook 5+7'!$B$48:$D$48),0)</f>
        <v>0</v>
      </c>
      <c r="C53" s="7">
        <f>IFERROR(SUMPRODUCT('Outlook 5+7'!$E53:$G53,'Outlook 5+7'!$E$48:$G$48)/SUM('Outlook 5+7'!$E$48:$G$48),0)</f>
        <v>20.125789422383228</v>
      </c>
      <c r="D53" s="7">
        <f>IFERROR(SUMPRODUCT('Outlook 5+7'!$H53:$J53,'Outlook 5+7'!$H$48:$J$48)/SUM('Outlook 5+7'!$H$48:$J$48),0)</f>
        <v>20</v>
      </c>
      <c r="E53" s="7">
        <f>IFERROR(SUMPRODUCT('Outlook 5+7'!$K53:$M53,'Outlook 5+7'!$K$48:$M$48)/SUM('Outlook 5+7'!$K$48:$M$48),0)</f>
        <v>20</v>
      </c>
      <c r="F53" s="15">
        <f>SUMPRODUCT(B53:E53,$B$48:$E$48)/SUM($B$48:$E$48)</f>
        <v>20.008755639532136</v>
      </c>
      <c r="H53" s="7">
        <f>'Budget 2025'!N53</f>
        <v>20</v>
      </c>
      <c r="K53" s="32"/>
    </row>
    <row r="54" spans="1:11" x14ac:dyDescent="0.35">
      <c r="K54" s="32"/>
    </row>
    <row r="55" spans="1:11" x14ac:dyDescent="0.35">
      <c r="A55" s="6" t="s">
        <v>31</v>
      </c>
      <c r="B55" s="6" t="s">
        <v>93</v>
      </c>
      <c r="C55" s="6" t="s">
        <v>94</v>
      </c>
      <c r="D55" s="6" t="s">
        <v>95</v>
      </c>
      <c r="E55" s="6" t="s">
        <v>96</v>
      </c>
      <c r="F55" s="6" t="s">
        <v>13</v>
      </c>
      <c r="G55" s="4"/>
      <c r="H55" s="6" t="s">
        <v>84</v>
      </c>
      <c r="K55" s="32"/>
    </row>
    <row r="56" spans="1:11" s="2" customFormat="1" x14ac:dyDescent="0.35">
      <c r="A56" s="9" t="s">
        <v>14</v>
      </c>
      <c r="B56" s="10">
        <f t="shared" ref="B56:F56" si="6">SUM(B57:B59)</f>
        <v>10676.4767469</v>
      </c>
      <c r="C56" s="10">
        <f t="shared" si="6"/>
        <v>10443.472736390251</v>
      </c>
      <c r="D56" s="10">
        <f t="shared" si="6"/>
        <v>13760</v>
      </c>
      <c r="E56" s="10">
        <f t="shared" si="6"/>
        <v>12020.050516709751</v>
      </c>
      <c r="F56" s="10">
        <f t="shared" si="6"/>
        <v>46900</v>
      </c>
      <c r="H56" s="10">
        <f>'Budget 2025'!N56</f>
        <v>51650</v>
      </c>
      <c r="I56" s="27">
        <f>F56/H56</f>
        <v>0.90803484995159733</v>
      </c>
      <c r="K56" s="32"/>
    </row>
    <row r="57" spans="1:11" x14ac:dyDescent="0.35">
      <c r="A57" s="5" t="s">
        <v>57</v>
      </c>
      <c r="B57" s="30">
        <f>SUMIFS('Outlook 5+7'!$B57:$M57,'Outlook 5+7'!$B$185:$M$185,'Outlook Quarterly 5+7'!B$4)</f>
        <v>3675.6012271999998</v>
      </c>
      <c r="C57" s="8">
        <f>SUMIFS('Outlook 5+7'!$B57:$M57,'Outlook 5+7'!$B$185:$M$185,'Outlook Quarterly 5+7'!C$4)</f>
        <v>4973.0271142000001</v>
      </c>
      <c r="D57" s="8">
        <f>SUMIFS('Outlook 5+7'!$B57:$M57,'Outlook 5+7'!$B$185:$M$185,'Outlook Quarterly 5+7'!D$4)</f>
        <v>8160</v>
      </c>
      <c r="E57" s="8">
        <f>SUMIFS('Outlook 5+7'!$B57:$M57,'Outlook 5+7'!$B$185:$M$185,'Outlook Quarterly 5+7'!E$4)</f>
        <v>7591.3716586000028</v>
      </c>
      <c r="F57" s="8">
        <f t="shared" ref="F57:F64" si="7">SUM(B57:E57)</f>
        <v>24400</v>
      </c>
      <c r="H57" s="8">
        <f>'Budget 2025'!N57</f>
        <v>24400</v>
      </c>
      <c r="K57" s="32"/>
    </row>
    <row r="58" spans="1:11" x14ac:dyDescent="0.35">
      <c r="A58" s="5" t="s">
        <v>56</v>
      </c>
      <c r="B58" s="30">
        <f>SUMIFS('Outlook 5+7'!$B58:$M58,'Outlook 5+7'!$B$185:$M$185,'Outlook Quarterly 5+7'!B$4)</f>
        <v>2955.7184296</v>
      </c>
      <c r="C58" s="8">
        <f>SUMIFS('Outlook 5+7'!$B58:$M58,'Outlook 5+7'!$B$185:$M$185,'Outlook Quarterly 5+7'!C$4)</f>
        <v>2455.2083061902513</v>
      </c>
      <c r="D58" s="8">
        <f>SUMIFS('Outlook 5+7'!$B58:$M58,'Outlook 5+7'!$B$185:$M$185,'Outlook Quarterly 5+7'!D$4)</f>
        <v>3000</v>
      </c>
      <c r="E58" s="8">
        <f>SUMIFS('Outlook 5+7'!$B58:$M58,'Outlook 5+7'!$B$185:$M$185,'Outlook Quarterly 5+7'!E$4)</f>
        <v>2589.0732642097501</v>
      </c>
      <c r="F58" s="8">
        <f t="shared" si="7"/>
        <v>11000.000000000002</v>
      </c>
      <c r="H58" s="8">
        <f>'Budget 2025'!N58</f>
        <v>11000</v>
      </c>
      <c r="K58" s="32"/>
    </row>
    <row r="59" spans="1:11" x14ac:dyDescent="0.35">
      <c r="A59" s="5" t="s">
        <v>55</v>
      </c>
      <c r="B59" s="30">
        <f>SUMIFS('Outlook 5+7'!$B59:$M59,'Outlook 5+7'!$B$185:$M$185,'Outlook Quarterly 5+7'!B$4)</f>
        <v>4045.1570901</v>
      </c>
      <c r="C59" s="8">
        <f>SUMIFS('Outlook 5+7'!$B59:$M59,'Outlook 5+7'!$B$185:$M$185,'Outlook Quarterly 5+7'!C$4)</f>
        <v>3015.2373159999997</v>
      </c>
      <c r="D59" s="8">
        <f>SUMIFS('Outlook 5+7'!$B59:$M59,'Outlook 5+7'!$B$185:$M$185,'Outlook Quarterly 5+7'!D$4)</f>
        <v>2600</v>
      </c>
      <c r="E59" s="8">
        <f>SUMIFS('Outlook 5+7'!$B59:$M59,'Outlook 5+7'!$B$185:$M$185,'Outlook Quarterly 5+7'!E$4)</f>
        <v>1839.605593899998</v>
      </c>
      <c r="F59" s="8">
        <f t="shared" si="7"/>
        <v>11499.999999999998</v>
      </c>
      <c r="H59" s="8">
        <f>'Budget 2025'!N59</f>
        <v>16250</v>
      </c>
      <c r="K59" s="32"/>
    </row>
    <row r="60" spans="1:11" s="2" customFormat="1" x14ac:dyDescent="0.35">
      <c r="A60" s="9" t="s">
        <v>17</v>
      </c>
      <c r="B60" s="10">
        <f>SUM(B61:B64)</f>
        <v>646.72683065617298</v>
      </c>
      <c r="C60" s="10">
        <f t="shared" ref="C60:E60" si="8">SUM(C61:C64)</f>
        <v>732.98787638940769</v>
      </c>
      <c r="D60" s="10">
        <f t="shared" si="8"/>
        <v>1060</v>
      </c>
      <c r="E60" s="10">
        <f t="shared" si="8"/>
        <v>1025.285292954419</v>
      </c>
      <c r="F60" s="10">
        <f t="shared" si="7"/>
        <v>3465</v>
      </c>
      <c r="H60" s="10">
        <f>'Budget 2025'!N60</f>
        <v>3300.3869731644691</v>
      </c>
      <c r="I60" s="27">
        <f>F60/H60</f>
        <v>1.0498768866117834</v>
      </c>
      <c r="K60" s="32"/>
    </row>
    <row r="61" spans="1:11" x14ac:dyDescent="0.35">
      <c r="A61" s="5" t="s">
        <v>57</v>
      </c>
      <c r="B61" s="30">
        <f>SUMIFS('Outlook 5+7'!$B61:$M61,'Outlook 5+7'!$B$185:$M$185,'Outlook Quarterly 5+7'!B$4)</f>
        <v>410.77472</v>
      </c>
      <c r="C61" s="8">
        <f>SUMIFS('Outlook 5+7'!$B61:$M61,'Outlook 5+7'!$B$185:$M$185,'Outlook Quarterly 5+7'!C$4)</f>
        <v>463.5381000000001</v>
      </c>
      <c r="D61" s="8">
        <f>SUMIFS('Outlook 5+7'!$B61:$M61,'Outlook 5+7'!$B$185:$M$185,'Outlook Quarterly 5+7'!D$4)</f>
        <v>625</v>
      </c>
      <c r="E61" s="8">
        <f>SUMIFS('Outlook 5+7'!$B61:$M61,'Outlook 5+7'!$B$185:$M$185,'Outlook Quarterly 5+7'!E$4)</f>
        <v>630.68717999999944</v>
      </c>
      <c r="F61" s="8">
        <f t="shared" si="7"/>
        <v>2129.9999999999995</v>
      </c>
      <c r="H61" s="8">
        <f>'Budget 2025'!N61</f>
        <v>2130</v>
      </c>
      <c r="K61" s="32"/>
    </row>
    <row r="62" spans="1:11" x14ac:dyDescent="0.35">
      <c r="A62" s="5" t="s">
        <v>56</v>
      </c>
      <c r="B62" s="30">
        <f>SUMIFS('Outlook 5+7'!$B62:$M62,'Outlook 5+7'!$B$185:$M$185,'Outlook Quarterly 5+7'!B$4)</f>
        <v>108.21404000000001</v>
      </c>
      <c r="C62" s="8">
        <f>SUMIFS('Outlook 5+7'!$B62:$M62,'Outlook 5+7'!$B$185:$M$185,'Outlook Quarterly 5+7'!C$4)</f>
        <v>111.68562</v>
      </c>
      <c r="D62" s="8">
        <f>SUMIFS('Outlook 5+7'!$B62:$M62,'Outlook 5+7'!$B$185:$M$185,'Outlook Quarterly 5+7'!D$4)</f>
        <v>170</v>
      </c>
      <c r="E62" s="8">
        <f>SUMIFS('Outlook 5+7'!$B62:$M62,'Outlook 5+7'!$B$185:$M$185,'Outlook Quarterly 5+7'!E$4)</f>
        <v>160.10034000000002</v>
      </c>
      <c r="F62" s="8">
        <f t="shared" si="7"/>
        <v>550</v>
      </c>
      <c r="H62" s="8">
        <f>'Budget 2025'!N62</f>
        <v>550</v>
      </c>
      <c r="K62" s="32"/>
    </row>
    <row r="63" spans="1:11" x14ac:dyDescent="0.35">
      <c r="A63" s="5" t="s">
        <v>55</v>
      </c>
      <c r="B63" s="30">
        <f>SUMIFS('Outlook 5+7'!$B63:$M63,'Outlook 5+7'!$B$185:$M$185,'Outlook Quarterly 5+7'!B$4)</f>
        <v>123.38981065617305</v>
      </c>
      <c r="C63" s="8">
        <f>SUMIFS('Outlook 5+7'!$B63:$M63,'Outlook 5+7'!$B$185:$M$185,'Outlook Quarterly 5+7'!C$4)</f>
        <v>150.61995638940766</v>
      </c>
      <c r="D63" s="8">
        <f>SUMIFS('Outlook 5+7'!$B63:$M63,'Outlook 5+7'!$B$185:$M$185,'Outlook Quarterly 5+7'!D$4)</f>
        <v>265</v>
      </c>
      <c r="E63" s="8">
        <f>SUMIFS('Outlook 5+7'!$B63:$M63,'Outlook 5+7'!$B$185:$M$185,'Outlook Quarterly 5+7'!E$4)</f>
        <v>234.49777295441959</v>
      </c>
      <c r="F63" s="8">
        <f t="shared" si="7"/>
        <v>773.50754000000029</v>
      </c>
      <c r="H63" s="8">
        <f>'Budget 2025'!N63</f>
        <v>620.38697316446883</v>
      </c>
      <c r="K63" s="32"/>
    </row>
    <row r="64" spans="1:11" x14ac:dyDescent="0.35">
      <c r="A64" s="5" t="s">
        <v>45</v>
      </c>
      <c r="B64" s="30">
        <f>SUMIFS('Outlook 5+7'!$B64:$M64,'Outlook 5+7'!$B$185:$M$185,'Outlook Quarterly 5+7'!B$4)</f>
        <v>4.3482599999999989</v>
      </c>
      <c r="C64" s="8">
        <f>SUMIFS('Outlook 5+7'!$B64:$M64,'Outlook 5+7'!$B$185:$M$185,'Outlook Quarterly 5+7'!C$4)</f>
        <v>7.1442000000000005</v>
      </c>
      <c r="D64" s="8">
        <f>SUMIFS('Outlook 5+7'!$B64:$M64,'Outlook 5+7'!$B$185:$M$185,'Outlook Quarterly 5+7'!D$4)</f>
        <v>0</v>
      </c>
      <c r="E64" s="8">
        <f>SUMIFS('Outlook 5+7'!$B64:$M64,'Outlook 5+7'!$B$185:$M$185,'Outlook Quarterly 5+7'!E$4)</f>
        <v>0</v>
      </c>
      <c r="F64" s="8">
        <f t="shared" si="7"/>
        <v>11.492459999999999</v>
      </c>
      <c r="H64" s="8"/>
      <c r="K64" s="32"/>
    </row>
    <row r="65" spans="1:11" s="2" customFormat="1" x14ac:dyDescent="0.35">
      <c r="A65" s="9" t="s">
        <v>32</v>
      </c>
      <c r="B65" s="11">
        <f>B56/B60</f>
        <v>16.508479686960847</v>
      </c>
      <c r="C65" s="11">
        <f t="shared" ref="C65:F65" si="9">C56/C60</f>
        <v>14.247811011327075</v>
      </c>
      <c r="D65" s="11">
        <f t="shared" si="9"/>
        <v>12.981132075471699</v>
      </c>
      <c r="E65" s="11">
        <f t="shared" si="9"/>
        <v>11.723615465187526</v>
      </c>
      <c r="F65" s="11">
        <f t="shared" si="9"/>
        <v>13.535353535353535</v>
      </c>
      <c r="H65" s="11">
        <f>'Budget 2025'!N64</f>
        <v>15.649679998123696</v>
      </c>
      <c r="K65" s="32"/>
    </row>
    <row r="66" spans="1:11" s="2" customFormat="1" x14ac:dyDescent="0.35">
      <c r="A66" s="9" t="s">
        <v>33</v>
      </c>
      <c r="B66" s="10">
        <f t="shared" ref="B66:F66" si="10">SUM(B67:B68)</f>
        <v>737.91459000000009</v>
      </c>
      <c r="C66" s="10">
        <f t="shared" si="10"/>
        <v>733.61995999999999</v>
      </c>
      <c r="D66" s="10">
        <f t="shared" si="10"/>
        <v>985</v>
      </c>
      <c r="E66" s="10">
        <f t="shared" si="10"/>
        <v>943.46544999999981</v>
      </c>
      <c r="F66" s="10">
        <f t="shared" si="10"/>
        <v>3400</v>
      </c>
      <c r="H66" s="10">
        <f>'Budget 2025'!N65</f>
        <v>3230</v>
      </c>
      <c r="K66" s="32"/>
    </row>
    <row r="67" spans="1:11" x14ac:dyDescent="0.35">
      <c r="A67" s="5" t="s">
        <v>35</v>
      </c>
      <c r="B67" s="30">
        <f>SUMIFS('Outlook 5+7'!$B67:$M67,'Outlook 5+7'!$B$185:$M$185,'Outlook Quarterly 5+7'!B$4)</f>
        <v>437.92770000000007</v>
      </c>
      <c r="C67" s="8">
        <f>SUMIFS('Outlook 5+7'!$B67:$M67,'Outlook 5+7'!$B$185:$M$185,'Outlook Quarterly 5+7'!C$4)</f>
        <v>383.55204000000003</v>
      </c>
      <c r="D67" s="8">
        <f>SUMIFS('Outlook 5+7'!$B67:$M67,'Outlook 5+7'!$B$185:$M$185,'Outlook Quarterly 5+7'!D$4)</f>
        <v>535</v>
      </c>
      <c r="E67" s="8">
        <f>SUMIFS('Outlook 5+7'!$B67:$M67,'Outlook 5+7'!$B$185:$M$185,'Outlook Quarterly 5+7'!E$4)</f>
        <v>513.52025999999978</v>
      </c>
      <c r="F67" s="8">
        <f t="shared" ref="F67:F72" si="11">SUM(B67:E67)</f>
        <v>1870</v>
      </c>
      <c r="H67" s="8">
        <f>'Budget 2025'!N66</f>
        <v>1630</v>
      </c>
      <c r="K67" s="32"/>
    </row>
    <row r="68" spans="1:11" x14ac:dyDescent="0.35">
      <c r="A68" s="5" t="s">
        <v>39</v>
      </c>
      <c r="B68" s="30">
        <f>SUMIFS('Outlook 5+7'!$B68:$M68,'Outlook 5+7'!$B$185:$M$185,'Outlook Quarterly 5+7'!B$4)</f>
        <v>299.98689000000002</v>
      </c>
      <c r="C68" s="8">
        <f>SUMIFS('Outlook 5+7'!$B68:$M68,'Outlook 5+7'!$B$185:$M$185,'Outlook Quarterly 5+7'!C$4)</f>
        <v>350.06792000000002</v>
      </c>
      <c r="D68" s="8">
        <f>SUMIFS('Outlook 5+7'!$B68:$M68,'Outlook 5+7'!$B$185:$M$185,'Outlook Quarterly 5+7'!D$4)</f>
        <v>450</v>
      </c>
      <c r="E68" s="8">
        <f>SUMIFS('Outlook 5+7'!$B68:$M68,'Outlook 5+7'!$B$185:$M$185,'Outlook Quarterly 5+7'!E$4)</f>
        <v>429.94519000000003</v>
      </c>
      <c r="F68" s="8">
        <f t="shared" si="11"/>
        <v>1530</v>
      </c>
      <c r="H68" s="8">
        <f>'Budget 2025'!N67</f>
        <v>1480</v>
      </c>
      <c r="K68" s="32"/>
    </row>
    <row r="69" spans="1:11" x14ac:dyDescent="0.35">
      <c r="A69" s="5" t="s">
        <v>41</v>
      </c>
      <c r="B69" s="30">
        <f>SUMIFS('Outlook 5+7'!$B69:$M69,'Outlook 5+7'!$B$185:$M$185,'Outlook Quarterly 5+7'!B$4)</f>
        <v>0</v>
      </c>
      <c r="C69" s="8">
        <f>SUMIFS('Outlook 5+7'!$B69:$M69,'Outlook 5+7'!$B$185:$M$185,'Outlook Quarterly 5+7'!C$4)</f>
        <v>0</v>
      </c>
      <c r="D69" s="8">
        <f>SUMIFS('Outlook 5+7'!$B69:$M69,'Outlook 5+7'!$B$185:$M$185,'Outlook Quarterly 5+7'!D$4)</f>
        <v>0</v>
      </c>
      <c r="E69" s="8">
        <f>SUMIFS('Outlook 5+7'!$B69:$M69,'Outlook 5+7'!$B$185:$M$185,'Outlook Quarterly 5+7'!E$4)</f>
        <v>0</v>
      </c>
      <c r="F69" s="8">
        <f t="shared" si="11"/>
        <v>0</v>
      </c>
      <c r="H69" s="8">
        <f>'Budget 2025'!N68</f>
        <v>120</v>
      </c>
      <c r="K69" s="32"/>
    </row>
    <row r="70" spans="1:11" hidden="1" x14ac:dyDescent="0.35">
      <c r="A70" s="9" t="s">
        <v>58</v>
      </c>
      <c r="B70" s="10">
        <f>B71+B72</f>
        <v>57.125659999999996</v>
      </c>
      <c r="C70" s="10">
        <f t="shared" ref="C70:E70" si="12">C71+C72</f>
        <v>53.497250000000001</v>
      </c>
      <c r="D70" s="10">
        <f t="shared" si="12"/>
        <v>58.810299999999984</v>
      </c>
      <c r="E70" s="10">
        <f t="shared" si="12"/>
        <v>75.263139999999993</v>
      </c>
      <c r="F70" s="10">
        <f t="shared" si="11"/>
        <v>244.69634999999997</v>
      </c>
      <c r="G70" s="2"/>
      <c r="H70" s="10">
        <f>'Budget 2025'!N69</f>
        <v>1676.5</v>
      </c>
      <c r="K70" s="32"/>
    </row>
    <row r="71" spans="1:11" hidden="1" x14ac:dyDescent="0.35">
      <c r="A71" s="5" t="s">
        <v>53</v>
      </c>
      <c r="B71" s="30">
        <f>B86</f>
        <v>7.10975</v>
      </c>
      <c r="C71" s="8">
        <f t="shared" ref="C71:E71" si="13">C86</f>
        <v>40.527500000000003</v>
      </c>
      <c r="D71" s="8">
        <f t="shared" si="13"/>
        <v>51.952449999999985</v>
      </c>
      <c r="E71" s="8">
        <f t="shared" si="13"/>
        <v>50.126389999999994</v>
      </c>
      <c r="F71" s="8">
        <f t="shared" si="11"/>
        <v>149.71608999999998</v>
      </c>
      <c r="H71" s="8">
        <f>'Budget 2025'!N70</f>
        <v>671.5</v>
      </c>
      <c r="K71" s="32"/>
    </row>
    <row r="72" spans="1:11" hidden="1" x14ac:dyDescent="0.35">
      <c r="A72" s="5" t="s">
        <v>54</v>
      </c>
      <c r="B72" s="30">
        <f>B92</f>
        <v>50.015909999999998</v>
      </c>
      <c r="C72" s="8">
        <f t="shared" ref="C72:E72" si="14">C92</f>
        <v>12.969749999999998</v>
      </c>
      <c r="D72" s="8">
        <f t="shared" si="14"/>
        <v>6.85785</v>
      </c>
      <c r="E72" s="8">
        <f t="shared" si="14"/>
        <v>25.136750000000003</v>
      </c>
      <c r="F72" s="8">
        <f t="shared" si="11"/>
        <v>94.980260000000001</v>
      </c>
      <c r="H72" s="8">
        <f>'Budget 2025'!N71</f>
        <v>1005</v>
      </c>
      <c r="K72" s="32"/>
    </row>
    <row r="73" spans="1:11" s="2" customFormat="1" x14ac:dyDescent="0.35">
      <c r="A73" s="9" t="s">
        <v>34</v>
      </c>
      <c r="B73" s="11">
        <f t="shared" ref="B73:F73" si="15">B56/B66</f>
        <v>14.468445117611781</v>
      </c>
      <c r="C73" s="11">
        <f t="shared" si="15"/>
        <v>14.235535162361519</v>
      </c>
      <c r="D73" s="11">
        <f t="shared" si="15"/>
        <v>13.969543147208121</v>
      </c>
      <c r="E73" s="11">
        <f t="shared" si="15"/>
        <v>12.74031870134699</v>
      </c>
      <c r="F73" s="11">
        <f t="shared" si="15"/>
        <v>13.794117647058824</v>
      </c>
      <c r="H73" s="11">
        <f>'Budget 2025'!N72</f>
        <v>15.990712074303406</v>
      </c>
      <c r="K73" s="32"/>
    </row>
    <row r="74" spans="1:11" s="2" customFormat="1" x14ac:dyDescent="0.35">
      <c r="A74" s="9" t="s">
        <v>35</v>
      </c>
      <c r="B74" s="10">
        <f>SUMIFS('Outlook 5+7'!$B74:$M74,'Outlook 5+7'!$B$185:$M$185,'Outlook Quarterly 5+7'!B$4)</f>
        <v>437.92770000000007</v>
      </c>
      <c r="C74" s="10">
        <f>SUMIFS('Outlook 5+7'!$B74:$M74,'Outlook 5+7'!$B$185:$M$185,'Outlook Quarterly 5+7'!C$4)</f>
        <v>383.55204000000003</v>
      </c>
      <c r="D74" s="10">
        <f>SUMIFS('Outlook 5+7'!$B74:$M74,'Outlook 5+7'!$B$185:$M$185,'Outlook Quarterly 5+7'!D$4)</f>
        <v>535</v>
      </c>
      <c r="E74" s="10">
        <f>SUMIFS('Outlook 5+7'!$B74:$M74,'Outlook 5+7'!$B$185:$M$185,'Outlook Quarterly 5+7'!E$4)</f>
        <v>513.52025999999978</v>
      </c>
      <c r="F74" s="10">
        <f>SUM(B74:E74)</f>
        <v>1870</v>
      </c>
      <c r="H74" s="10">
        <f>'Budget 2025'!N73</f>
        <v>1630</v>
      </c>
      <c r="K74" s="32"/>
    </row>
    <row r="75" spans="1:11" x14ac:dyDescent="0.35">
      <c r="A75" s="5" t="s">
        <v>60</v>
      </c>
      <c r="B75" s="30">
        <f>IFERROR(SUMPRODUCT('Outlook 5+7'!$B75:$D75,'Outlook 5+7'!$B$74:$D$74)/SUM('Outlook 5+7'!$B$74:$D$74),0)</f>
        <v>6639.7411697859916</v>
      </c>
      <c r="C75" s="8">
        <f>IFERROR(SUMPRODUCT('Outlook 5+7'!$E75:$G75,'Outlook 5+7'!$E$74:$G$74)/SUM('Outlook 5+7'!$E$74:$G$74),0)</f>
        <v>6654.9320024068129</v>
      </c>
      <c r="D75" s="8">
        <f>IFERROR(SUMPRODUCT('Outlook 5+7'!$H75:$J75,'Outlook 5+7'!$H$74:$J$74)/SUM('Outlook 5+7'!$H$74:$J$74),0)</f>
        <v>6536.5773922680883</v>
      </c>
      <c r="E75" s="8">
        <f>IFERROR(SUMPRODUCT('Outlook 5+7'!$K75:$M75,'Outlook 5+7'!$K$74:$M$74)/SUM('Outlook 5+7'!$K$74:$M$74),0)</f>
        <v>6451.8371219583096</v>
      </c>
      <c r="F75" s="8">
        <f>SUMPRODUCT(B75:E75,$B$74:$E$74)/SUM($B$74:$E$74)</f>
        <v>6561.7418747985112</v>
      </c>
      <c r="H75" s="8">
        <f>'Budget 2025'!N74</f>
        <v>6355.6512817964895</v>
      </c>
      <c r="K75" s="32"/>
    </row>
    <row r="76" spans="1:11" x14ac:dyDescent="0.35">
      <c r="A76" s="5" t="s">
        <v>36</v>
      </c>
      <c r="B76" s="31">
        <f>IFERROR(SUMPRODUCT('Outlook 5+7'!$B76:$D76,'Outlook 5+7'!$B$74:$D$74)/SUM('Outlook 5+7'!$B$74:$D$74),0)</f>
        <v>0.67682137021868549</v>
      </c>
      <c r="C76" s="7">
        <f>IFERROR(SUMPRODUCT('Outlook 5+7'!$E76:$G76,'Outlook 5+7'!$E$74:$G$74)/SUM('Outlook 5+7'!$E$74:$G$74),0)</f>
        <v>0.71882032486557035</v>
      </c>
      <c r="D76" s="7">
        <f>IFERROR(SUMPRODUCT('Outlook 5+7'!$H76:$J76,'Outlook 5+7'!$H$74:$J$74)/SUM('Outlook 5+7'!$H$74:$J$74),0)</f>
        <v>0.73493192155234544</v>
      </c>
      <c r="E76" s="7">
        <f>IFERROR(SUMPRODUCT('Outlook 5+7'!$K76:$M76,'Outlook 5+7'!$K$74:$M$74)/SUM('Outlook 5+7'!$K$74:$M$74),0)</f>
        <v>0.70277290073817478</v>
      </c>
      <c r="F76" s="7">
        <f>SUMPRODUCT(B76:E76,$B$74:$E$74)/SUM($B$74:$E$74)</f>
        <v>0.70918744850529203</v>
      </c>
      <c r="H76" s="7">
        <f>'Budget 2025'!N75</f>
        <v>0.60341465782487103</v>
      </c>
      <c r="K76" s="32"/>
    </row>
    <row r="77" spans="1:11" x14ac:dyDescent="0.35">
      <c r="A77" s="5" t="s">
        <v>37</v>
      </c>
      <c r="B77" s="31">
        <f>IFERROR(SUMPRODUCT('Outlook 5+7'!$B77:$D77,'Outlook 5+7'!$B$74:$D$74)/SUM('Outlook 5+7'!$B$74:$D$74),0)</f>
        <v>4.0949828079637687</v>
      </c>
      <c r="C77" s="7">
        <f>IFERROR(SUMPRODUCT('Outlook 5+7'!$E77:$G77,'Outlook 5+7'!$E$74:$G$74)/SUM('Outlook 5+7'!$E$74:$G$74),0)</f>
        <v>4.5606896219319113</v>
      </c>
      <c r="D77" s="7">
        <f>IFERROR(SUMPRODUCT('Outlook 5+7'!$H77:$J77,'Outlook 5+7'!$H$74:$J$74)/SUM('Outlook 5+7'!$H$74:$J$74),0)</f>
        <v>4.7806362358051437</v>
      </c>
      <c r="E77" s="7">
        <f>IFERROR(SUMPRODUCT('Outlook 5+7'!$K77:$M77,'Outlook 5+7'!$K$74:$M$74)/SUM('Outlook 5+7'!$K$74:$M$74),0)</f>
        <v>4.5871806857251691</v>
      </c>
      <c r="F77" s="7">
        <f>SUMPRODUCT(B77:E77,$B$74:$E$74)/SUM($B$74:$E$74)</f>
        <v>4.5218282435755333</v>
      </c>
      <c r="H77" s="7">
        <f>'Budget 2025'!N76</f>
        <v>4.8411373574408625</v>
      </c>
      <c r="K77" s="32"/>
    </row>
    <row r="78" spans="1:11" x14ac:dyDescent="0.35">
      <c r="A78" s="5" t="s">
        <v>38</v>
      </c>
      <c r="B78" s="31">
        <f>IFERROR(SUMPRODUCT('Outlook 5+7'!$B78:$D78,'Outlook 5+7'!$B$74:$D$74)/SUM('Outlook 5+7'!$B$74:$D$74),0)</f>
        <v>7.0529431382537915</v>
      </c>
      <c r="C78" s="7">
        <f>IFERROR(SUMPRODUCT('Outlook 5+7'!$E78:$G78,'Outlook 5+7'!$E$74:$G$74)/SUM('Outlook 5+7'!$E$74:$G$74),0)</f>
        <v>6.907642790111975</v>
      </c>
      <c r="D78" s="7">
        <f>IFERROR(SUMPRODUCT('Outlook 5+7'!$H78:$J78,'Outlook 5+7'!$H$74:$J$74)/SUM('Outlook 5+7'!$H$74:$J$74),0)</f>
        <v>7.8789964309110605</v>
      </c>
      <c r="E78" s="7">
        <f>IFERROR(SUMPRODUCT('Outlook 5+7'!$K78:$M78,'Outlook 5+7'!$K$74:$M$74)/SUM('Outlook 5+7'!$K$74:$M$74),0)</f>
        <v>7.8171279492373023</v>
      </c>
      <c r="F78" s="7">
        <f>SUMPRODUCT(B78:E78,$B$74:$E$74)/SUM($B$74:$E$74)</f>
        <v>7.4693242342181971</v>
      </c>
      <c r="H78" s="7">
        <f>'Budget 2025'!N77</f>
        <v>7.386331839135952</v>
      </c>
      <c r="K78" s="32"/>
    </row>
    <row r="79" spans="1:11" x14ac:dyDescent="0.35">
      <c r="A79" s="5" t="s">
        <v>25</v>
      </c>
      <c r="B79" s="31">
        <f>IFERROR(SUMPRODUCT('Outlook 5+7'!$B79:$D79,'Outlook 5+7'!$B$74:$D$74)/SUM('Outlook 5+7'!$B$74:$D$74),0)</f>
        <v>11.873359016835929</v>
      </c>
      <c r="C79" s="7">
        <f>IFERROR(SUMPRODUCT('Outlook 5+7'!$E79:$G79,'Outlook 5+7'!$E$74:$G$74)/SUM('Outlook 5+7'!$E$74:$G$74),0)</f>
        <v>11.351714834882706</v>
      </c>
      <c r="D79" s="7">
        <f>IFERROR(SUMPRODUCT('Outlook 5+7'!$H79:$J79,'Outlook 5+7'!$H$74:$J$74)/SUM('Outlook 5+7'!$H$74:$J$74),0)</f>
        <v>11.625756871219782</v>
      </c>
      <c r="E79" s="7">
        <f>IFERROR(SUMPRODUCT('Outlook 5+7'!$K79:$M79,'Outlook 5+7'!$K$74:$M$74)/SUM('Outlook 5+7'!$K$74:$M$74),0)</f>
        <v>12.743139396307718</v>
      </c>
      <c r="F79" s="7">
        <f>SUMPRODUCT(B79:E79,$B$74:$E$74)/SUM($B$74:$E$74)</f>
        <v>11.93437773799225</v>
      </c>
      <c r="H79" s="7">
        <f>'Budget 2025'!N78</f>
        <v>13.846499085482177</v>
      </c>
      <c r="K79" s="32"/>
    </row>
    <row r="80" spans="1:11" s="2" customFormat="1" x14ac:dyDescent="0.35">
      <c r="A80" s="9" t="s">
        <v>39</v>
      </c>
      <c r="B80" s="10">
        <f>SUMIFS('Outlook 5+7'!$B80:$M80,'Outlook 5+7'!$B$185:$M$185,'Outlook Quarterly 5+7'!B$4)</f>
        <v>299.98689000000002</v>
      </c>
      <c r="C80" s="10">
        <f>SUMIFS('Outlook 5+7'!$B80:$M80,'Outlook 5+7'!$B$185:$M$185,'Outlook Quarterly 5+7'!C$4)</f>
        <v>350.06792000000002</v>
      </c>
      <c r="D80" s="10">
        <f>SUMIFS('Outlook 5+7'!$B80:$M80,'Outlook 5+7'!$B$185:$M$185,'Outlook Quarterly 5+7'!D$4)</f>
        <v>450</v>
      </c>
      <c r="E80" s="10">
        <f>SUMIFS('Outlook 5+7'!$B80:$M80,'Outlook 5+7'!$B$185:$M$185,'Outlook Quarterly 5+7'!E$4)</f>
        <v>429.94519000000003</v>
      </c>
      <c r="F80" s="10">
        <f>SUM(B80:E80)</f>
        <v>1530</v>
      </c>
      <c r="H80" s="10">
        <f>'Budget 2025'!N79</f>
        <v>1480</v>
      </c>
      <c r="K80" s="32"/>
    </row>
    <row r="81" spans="1:11" x14ac:dyDescent="0.35">
      <c r="A81" s="5" t="s">
        <v>60</v>
      </c>
      <c r="B81" s="30">
        <f>IFERROR(SUMPRODUCT('Outlook 5+7'!$B81:$D81,'Outlook 5+7'!$B$80:$D$80)/SUM('Outlook 5+7'!$B$80:$D$80),0)</f>
        <v>6546.3914328104374</v>
      </c>
      <c r="C81" s="8">
        <f>IFERROR(SUMPRODUCT('Outlook 5+7'!$E81:$G81,'Outlook 5+7'!$E$80:$G$80)/SUM('Outlook 5+7'!$E$80:$G$80),0)</f>
        <v>6479.8443777090442</v>
      </c>
      <c r="D81" s="8">
        <f>IFERROR(SUMPRODUCT('Outlook 5+7'!$H81:$J81,'Outlook 5+7'!$H$80:$J$80)/SUM('Outlook 5+7'!$H$80:$J$80),0)</f>
        <v>6451.7533183162604</v>
      </c>
      <c r="E81" s="8">
        <f>IFERROR(SUMPRODUCT('Outlook 5+7'!$K81:$M81,'Outlook 5+7'!$K$80:$M$80)/SUM('Outlook 5+7'!$K$80:$M$80),0)</f>
        <v>6451.1591618854991</v>
      </c>
      <c r="F81" s="8">
        <f>SUMPRODUCT(B81:E81,$B$80:$E$80)/SUM($B$80:$E$80)</f>
        <v>6476.569342940631</v>
      </c>
      <c r="H81" s="8">
        <f>'Budget 2025'!N80</f>
        <v>6482.8119871932486</v>
      </c>
      <c r="K81" s="32"/>
    </row>
    <row r="82" spans="1:11" x14ac:dyDescent="0.35">
      <c r="A82" s="5" t="s">
        <v>40</v>
      </c>
      <c r="B82" s="31">
        <f>IFERROR(SUMPRODUCT('Outlook 5+7'!$B82:$D82,'Outlook 5+7'!$B$80:$D$80)/SUM('Outlook 5+7'!$B$80:$D$80),0)</f>
        <v>1.5724619949702787</v>
      </c>
      <c r="C82" s="7">
        <f>IFERROR(SUMPRODUCT('Outlook 5+7'!$E82:$G82,'Outlook 5+7'!$E$80:$G$80)/SUM('Outlook 5+7'!$E$80:$G$80),0)</f>
        <v>1.6471364903741696</v>
      </c>
      <c r="D82" s="7">
        <f>IFERROR(SUMPRODUCT('Outlook 5+7'!$H82:$J82,'Outlook 5+7'!$H$80:$J$80)/SUM('Outlook 5+7'!$H$80:$J$80),0)</f>
        <v>1.6889766740324601</v>
      </c>
      <c r="E82" s="7">
        <f>IFERROR(SUMPRODUCT('Outlook 5+7'!$K82:$M82,'Outlook 5+7'!$K$80:$M$80)/SUM('Outlook 5+7'!$K$80:$M$80),0)</f>
        <v>1.66370638471715</v>
      </c>
      <c r="F82" s="7">
        <f>SUMPRODUCT(B82:E82,$B$80:$E$80)/SUM($B$80:$E$80)</f>
        <v>1.6494573134978763</v>
      </c>
      <c r="H82" s="7">
        <f>'Budget 2025'!N81</f>
        <v>1.8762420726514626</v>
      </c>
      <c r="K82" s="32"/>
    </row>
    <row r="83" spans="1:11" x14ac:dyDescent="0.35">
      <c r="A83" s="5" t="s">
        <v>37</v>
      </c>
      <c r="B83" s="31">
        <f>IFERROR(SUMPRODUCT('Outlook 5+7'!$B83:$D83,'Outlook 5+7'!$B$80:$D$80)/SUM('Outlook 5+7'!$B$80:$D$80),0)</f>
        <v>4.259070795902308</v>
      </c>
      <c r="C83" s="7">
        <f>IFERROR(SUMPRODUCT('Outlook 5+7'!$E83:$G83,'Outlook 5+7'!$E$80:$G$80)/SUM('Outlook 5+7'!$E$80:$G$80),0)</f>
        <v>5.2141398977873843</v>
      </c>
      <c r="D83" s="7">
        <f>IFERROR(SUMPRODUCT('Outlook 5+7'!$H83:$J83,'Outlook 5+7'!$H$80:$J$80)/SUM('Outlook 5+7'!$H$80:$J$80),0)</f>
        <v>5.7350372430881604</v>
      </c>
      <c r="E83" s="7">
        <f>IFERROR(SUMPRODUCT('Outlook 5+7'!$K83:$M83,'Outlook 5+7'!$K$80:$M$80)/SUM('Outlook 5+7'!$K$80:$M$80),0)</f>
        <v>5.882959914772222</v>
      </c>
      <c r="F83" s="7">
        <f>SUMPRODUCT(B83:E83,$B$80:$E$80)/SUM($B$80:$E$80)</f>
        <v>5.3680297965155557</v>
      </c>
      <c r="H83" s="7">
        <f>'Budget 2025'!N82</f>
        <v>10.254553163544609</v>
      </c>
      <c r="K83" s="32"/>
    </row>
    <row r="84" spans="1:11" x14ac:dyDescent="0.35">
      <c r="A84" s="5" t="s">
        <v>38</v>
      </c>
      <c r="B84" s="31">
        <f>IFERROR(SUMPRODUCT('Outlook 5+7'!$B84:$D84,'Outlook 5+7'!$B$80:$D$80)/SUM('Outlook 5+7'!$B$80:$D$80),0)</f>
        <v>6.4202960004113985</v>
      </c>
      <c r="C84" s="7">
        <f>IFERROR(SUMPRODUCT('Outlook 5+7'!$E84:$G84,'Outlook 5+7'!$E$80:$G$80)/SUM('Outlook 5+7'!$E$80:$G$80),0)</f>
        <v>6.5943074497290688</v>
      </c>
      <c r="D84" s="7">
        <f>IFERROR(SUMPRODUCT('Outlook 5+7'!$H84:$J84,'Outlook 5+7'!$H$80:$J$80)/SUM('Outlook 5+7'!$H$80:$J$80),0)</f>
        <v>6.7703750363248458</v>
      </c>
      <c r="E84" s="7">
        <f>IFERROR(SUMPRODUCT('Outlook 5+7'!$K84:$M84,'Outlook 5+7'!$K$80:$M$80)/SUM('Outlook 5+7'!$K$80:$M$80),0)</f>
        <v>6.7057608766342023</v>
      </c>
      <c r="F84" s="7">
        <f>SUMPRODUCT(B84:E84,$B$80:$E$80)/SUM($B$80:$E$80)</f>
        <v>6.6432931525197727</v>
      </c>
      <c r="H84" s="7">
        <f>'Budget 2025'!N83</f>
        <v>6.6257918257808086</v>
      </c>
      <c r="K84" s="32"/>
    </row>
    <row r="85" spans="1:11" x14ac:dyDescent="0.35">
      <c r="A85" s="5" t="s">
        <v>25</v>
      </c>
      <c r="B85" s="31">
        <f>IFERROR(SUMPRODUCT('Outlook 5+7'!$B85:$D85,'Outlook 5+7'!$B$80:$D$80)/SUM('Outlook 5+7'!$B$80:$D$80),0)</f>
        <v>11.321403773263096</v>
      </c>
      <c r="C85" s="7">
        <f>IFERROR(SUMPRODUCT('Outlook 5+7'!$E85:$G85,'Outlook 5+7'!$E$80:$G$80)/SUM('Outlook 5+7'!$E$80:$G$80),0)</f>
        <v>11.773273227967572</v>
      </c>
      <c r="D85" s="7">
        <f>IFERROR(SUMPRODUCT('Outlook 5+7'!$H85:$J85,'Outlook 5+7'!$H$80:$J$80)/SUM('Outlook 5+7'!$H$80:$J$80),0)</f>
        <v>11.234542725889668</v>
      </c>
      <c r="E85" s="7">
        <f>IFERROR(SUMPRODUCT('Outlook 5+7'!$K85:$M85,'Outlook 5+7'!$K$80:$M$80)/SUM('Outlook 5+7'!$K$80:$M$80),0)</f>
        <v>11.169949056370641</v>
      </c>
      <c r="F85" s="7">
        <f>SUMPRODUCT(B85:E85,$B$80:$E$80)/SUM($B$80:$E$80)</f>
        <v>11.356685016250786</v>
      </c>
      <c r="H85" s="7">
        <f>'Budget 2025'!N84</f>
        <v>11.252249091491917</v>
      </c>
      <c r="K85" s="32"/>
    </row>
    <row r="86" spans="1:11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f>SUM(B86:E86)</f>
        <v>149.71608999999998</v>
      </c>
      <c r="G86" s="2"/>
      <c r="H86" s="10">
        <f>'Budget 2025'!N91</f>
        <v>671.5</v>
      </c>
      <c r="K86" s="32"/>
    </row>
    <row r="87" spans="1:11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14">
        <f>SUMPRODUCT(B87:E87,$B$86:$E$86)/SUM($B$86:$E$86)</f>
        <v>6322</v>
      </c>
      <c r="H87" s="8">
        <f>'Budget 2025'!N92</f>
        <v>6322</v>
      </c>
      <c r="K87" s="32"/>
    </row>
    <row r="88" spans="1:11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15">
        <f>SUMPRODUCT(B88:E88,$B$86:$E$86)/SUM($B$86:$E$86)</f>
        <v>0.6</v>
      </c>
      <c r="H88" s="7">
        <f>'Budget 2025'!N93</f>
        <v>0.6</v>
      </c>
      <c r="K88" s="32"/>
    </row>
    <row r="89" spans="1:11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15">
        <f>SUMPRODUCT(B89:E89,$B$86:$E$86)/SUM($B$86:$E$86)</f>
        <v>7.0000000000000009</v>
      </c>
      <c r="H89" s="7">
        <f>'Budget 2025'!N94</f>
        <v>7</v>
      </c>
      <c r="K89" s="32"/>
    </row>
    <row r="90" spans="1:11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15">
        <f>SUMPRODUCT(B90:E90,$B$86:$E$86)/SUM($B$86:$E$86)</f>
        <v>12</v>
      </c>
      <c r="H90" s="7">
        <f>'Budget 2025'!N95</f>
        <v>12</v>
      </c>
      <c r="K90" s="32"/>
    </row>
    <row r="91" spans="1:11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15">
        <f>SUMPRODUCT(B91:E91,$B$86:$E$86)/SUM($B$86:$E$86)</f>
        <v>14.000000000000002</v>
      </c>
      <c r="H91" s="7">
        <f>'Budget 2025'!N96</f>
        <v>14</v>
      </c>
      <c r="K91" s="32"/>
    </row>
    <row r="92" spans="1:11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f>SUM(B92:E92)</f>
        <v>94.980260000000001</v>
      </c>
      <c r="G92" s="2"/>
      <c r="H92" s="10">
        <f>'Budget 2025'!N97</f>
        <v>1005</v>
      </c>
      <c r="K92" s="32"/>
    </row>
    <row r="93" spans="1:11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14">
        <f>SUMPRODUCT(B93:E93,$B$93:$E$93)/SUM($B$93:$E$93)</f>
        <v>5400</v>
      </c>
      <c r="H93" s="8">
        <f>'Budget 2025'!N98</f>
        <v>5400</v>
      </c>
      <c r="K93" s="32"/>
    </row>
    <row r="94" spans="1:11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15">
        <f>SUMPRODUCT(B94:E94,$B$93:$E$93)/SUM($B$93:$E$93)</f>
        <v>1</v>
      </c>
      <c r="H94" s="7">
        <f>'Budget 2025'!N99</f>
        <v>1</v>
      </c>
      <c r="K94" s="32"/>
    </row>
    <row r="95" spans="1:11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15">
        <f>SUMPRODUCT(B95:E95,$B$93:$E$93)/SUM($B$93:$E$93)</f>
        <v>6</v>
      </c>
      <c r="H95" s="7">
        <f>'Budget 2025'!N100</f>
        <v>6</v>
      </c>
      <c r="K95" s="32"/>
    </row>
    <row r="96" spans="1:11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15">
        <f>SUMPRODUCT(B96:E96,$B$93:$E$93)/SUM($B$93:$E$93)</f>
        <v>15</v>
      </c>
      <c r="H96" s="7">
        <f>'Budget 2025'!N101</f>
        <v>15</v>
      </c>
      <c r="K96" s="32"/>
    </row>
    <row r="97" spans="1:11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15">
        <f>SUMPRODUCT(B97:E97,$B$93:$E$93)/SUM($B$93:$E$93)</f>
        <v>24</v>
      </c>
      <c r="H97" s="7">
        <f>'Budget 2025'!N102</f>
        <v>24</v>
      </c>
      <c r="K97" s="32"/>
    </row>
    <row r="98" spans="1:11" x14ac:dyDescent="0.35">
      <c r="K98" s="32"/>
    </row>
    <row r="99" spans="1:11" x14ac:dyDescent="0.35">
      <c r="A99" s="6" t="s">
        <v>48</v>
      </c>
      <c r="B99" s="6" t="s">
        <v>93</v>
      </c>
      <c r="C99" s="6" t="s">
        <v>94</v>
      </c>
      <c r="D99" s="6" t="s">
        <v>95</v>
      </c>
      <c r="E99" s="6" t="s">
        <v>96</v>
      </c>
      <c r="F99" s="6" t="s">
        <v>13</v>
      </c>
      <c r="G99" s="4"/>
      <c r="H99" s="6" t="s">
        <v>84</v>
      </c>
      <c r="K99" s="32"/>
    </row>
    <row r="100" spans="1:11" s="2" customFormat="1" x14ac:dyDescent="0.35">
      <c r="A100" s="9" t="s">
        <v>14</v>
      </c>
      <c r="B100" s="10">
        <f>SUM(B101:B103)</f>
        <v>21749.252778350001</v>
      </c>
      <c r="C100" s="10">
        <f t="shared" ref="C100:F100" si="16">SUM(C101:C103)</f>
        <v>21524.955209</v>
      </c>
      <c r="D100" s="10">
        <f t="shared" si="16"/>
        <v>25535.972669999999</v>
      </c>
      <c r="E100" s="10">
        <f t="shared" si="16"/>
        <v>22139.818992649994</v>
      </c>
      <c r="F100" s="10">
        <f t="shared" si="16"/>
        <v>90949.999649999983</v>
      </c>
      <c r="H100" s="10">
        <f>'Budget 2025'!N105</f>
        <v>90950</v>
      </c>
      <c r="I100" s="27">
        <f>F100/H100</f>
        <v>0.99999999615173152</v>
      </c>
      <c r="K100" s="32"/>
    </row>
    <row r="101" spans="1:11" x14ac:dyDescent="0.35">
      <c r="A101" s="5" t="s">
        <v>30</v>
      </c>
      <c r="B101" s="30">
        <f>SUMIFS('Outlook 5+7'!$B101:$M101,'Outlook 5+7'!$B$185:$M$185,'Outlook Quarterly 5+7'!B$4)</f>
        <v>4618.2175850000003</v>
      </c>
      <c r="C101" s="8">
        <f>SUMIFS('Outlook 5+7'!$B101:$M101,'Outlook 5+7'!$B$185:$M$185,'Outlook Quarterly 5+7'!C$4)</f>
        <v>4999.340991</v>
      </c>
      <c r="D101" s="8">
        <f>SUMIFS('Outlook 5+7'!$B101:$M101,'Outlook 5+7'!$B$185:$M$185,'Outlook Quarterly 5+7'!D$4)</f>
        <v>5995.9726700000001</v>
      </c>
      <c r="E101" s="8">
        <f>SUMIFS('Outlook 5+7'!$B101:$M101,'Outlook 5+7'!$B$185:$M$185,'Outlook Quarterly 5+7'!E$4)</f>
        <v>5586.4684040000011</v>
      </c>
      <c r="F101" s="8">
        <f>SUM(B101:E101)</f>
        <v>21199.999649999998</v>
      </c>
      <c r="H101" s="8">
        <f>'Budget 2025'!N106</f>
        <v>24000</v>
      </c>
      <c r="K101" s="32"/>
    </row>
    <row r="102" spans="1:11" x14ac:dyDescent="0.35">
      <c r="A102" s="5" t="s">
        <v>57</v>
      </c>
      <c r="B102" s="30">
        <f>SUMIFS('Outlook 5+7'!$B102:$M102,'Outlook 5+7'!$B$185:$M$185,'Outlook Quarterly 5+7'!B$4)</f>
        <v>11147.49826335</v>
      </c>
      <c r="C102" s="8">
        <f>SUMIFS('Outlook 5+7'!$B102:$M102,'Outlook 5+7'!$B$185:$M$185,'Outlook Quarterly 5+7'!C$4)</f>
        <v>12268.382806</v>
      </c>
      <c r="D102" s="8">
        <f>SUMIFS('Outlook 5+7'!$B102:$M102,'Outlook 5+7'!$B$185:$M$185,'Outlook Quarterly 5+7'!D$4)</f>
        <v>15840</v>
      </c>
      <c r="E102" s="8">
        <f>SUMIFS('Outlook 5+7'!$B102:$M102,'Outlook 5+7'!$B$185:$M$185,'Outlook Quarterly 5+7'!E$4)</f>
        <v>13744.118930649991</v>
      </c>
      <c r="F102" s="8">
        <f>SUM(B102:E102)</f>
        <v>52999.999999999985</v>
      </c>
      <c r="H102" s="8">
        <f>'Budget 2025'!N107</f>
        <v>52450</v>
      </c>
      <c r="K102" s="32"/>
    </row>
    <row r="103" spans="1:11" x14ac:dyDescent="0.35">
      <c r="A103" s="5" t="s">
        <v>45</v>
      </c>
      <c r="B103" s="30">
        <f>SUMIFS('Outlook 5+7'!$B103:$M103,'Outlook 5+7'!$B$185:$M$185,'Outlook Quarterly 5+7'!B$4)</f>
        <v>5983.5369300000002</v>
      </c>
      <c r="C103" s="8">
        <f>SUMIFS('Outlook 5+7'!$B103:$M103,'Outlook 5+7'!$B$185:$M$185,'Outlook Quarterly 5+7'!C$4)</f>
        <v>4257.2314120000001</v>
      </c>
      <c r="D103" s="8">
        <f>SUMIFS('Outlook 5+7'!$B103:$M103,'Outlook 5+7'!$B$185:$M$185,'Outlook Quarterly 5+7'!D$4)</f>
        <v>3700</v>
      </c>
      <c r="E103" s="8">
        <f>SUMIFS('Outlook 5+7'!$B103:$M103,'Outlook 5+7'!$B$185:$M$185,'Outlook Quarterly 5+7'!E$4)</f>
        <v>2809.2316579999992</v>
      </c>
      <c r="F103" s="8">
        <f>SUM(B103:E103)</f>
        <v>16750</v>
      </c>
      <c r="H103" s="8">
        <f>'Budget 2025'!N108</f>
        <v>14500</v>
      </c>
      <c r="K103" s="32"/>
    </row>
    <row r="104" spans="1:11" s="2" customFormat="1" x14ac:dyDescent="0.35">
      <c r="A104" s="9" t="s">
        <v>17</v>
      </c>
      <c r="B104" s="10">
        <f t="shared" ref="B104:F104" si="17">SUM(B105:B107)</f>
        <v>2384.6631639999996</v>
      </c>
      <c r="C104" s="10">
        <f t="shared" si="17"/>
        <v>2282.7071260000002</v>
      </c>
      <c r="D104" s="10">
        <f t="shared" si="17"/>
        <v>1945</v>
      </c>
      <c r="E104" s="10">
        <f t="shared" si="17"/>
        <v>1637.6297100000004</v>
      </c>
      <c r="F104" s="10">
        <f t="shared" si="17"/>
        <v>8250</v>
      </c>
      <c r="H104" s="10">
        <f>'Budget 2025'!N109</f>
        <v>8000</v>
      </c>
      <c r="I104" s="27">
        <f>F104/H104</f>
        <v>1.03125</v>
      </c>
      <c r="K104" s="32"/>
    </row>
    <row r="105" spans="1:11" x14ac:dyDescent="0.35">
      <c r="A105" s="5" t="s">
        <v>30</v>
      </c>
      <c r="B105" s="30">
        <f>SUMIFS('Outlook 5+7'!$B105:$M105,'Outlook 5+7'!$B$185:$M$185,'Outlook Quarterly 5+7'!B$4)</f>
        <v>652.31441400000006</v>
      </c>
      <c r="C105" s="8">
        <f>SUMIFS('Outlook 5+7'!$B105:$M105,'Outlook 5+7'!$B$185:$M$185,'Outlook Quarterly 5+7'!C$4)</f>
        <v>758.32531000000006</v>
      </c>
      <c r="D105" s="8">
        <f>SUMIFS('Outlook 5+7'!$B105:$M105,'Outlook 5+7'!$B$185:$M$185,'Outlook Quarterly 5+7'!D$4)</f>
        <v>370</v>
      </c>
      <c r="E105" s="8">
        <f>SUMIFS('Outlook 5+7'!$B105:$M105,'Outlook 5+7'!$B$185:$M$185,'Outlook Quarterly 5+7'!E$4)</f>
        <v>319.36027600000028</v>
      </c>
      <c r="F105" s="8">
        <f>SUM(B105:E105)</f>
        <v>2100.0000000000005</v>
      </c>
      <c r="H105" s="8">
        <f>'Budget 2025'!N110</f>
        <v>2399.9999999999995</v>
      </c>
      <c r="K105" s="32"/>
    </row>
    <row r="106" spans="1:11" x14ac:dyDescent="0.35">
      <c r="A106" s="5" t="s">
        <v>57</v>
      </c>
      <c r="B106" s="30">
        <f>SUMIFS('Outlook 5+7'!$B106:$M106,'Outlook 5+7'!$B$185:$M$185,'Outlook Quarterly 5+7'!B$4)</f>
        <v>1195.5137219999997</v>
      </c>
      <c r="C106" s="8">
        <f>SUMIFS('Outlook 5+7'!$B106:$M106,'Outlook 5+7'!$B$185:$M$185,'Outlook Quarterly 5+7'!C$4)</f>
        <v>839.402736</v>
      </c>
      <c r="D106" s="8">
        <f>SUMIFS('Outlook 5+7'!$B106:$M106,'Outlook 5+7'!$B$185:$M$185,'Outlook Quarterly 5+7'!D$4)</f>
        <v>1403</v>
      </c>
      <c r="E106" s="8">
        <f>SUMIFS('Outlook 5+7'!$B106:$M106,'Outlook 5+7'!$B$185:$M$185,'Outlook Quarterly 5+7'!E$4)</f>
        <v>1162.0835420000001</v>
      </c>
      <c r="F106" s="8">
        <f>SUM(B106:E106)</f>
        <v>4600</v>
      </c>
      <c r="H106" s="8">
        <f>'Budget 2025'!N111</f>
        <v>4400</v>
      </c>
      <c r="K106" s="32"/>
    </row>
    <row r="107" spans="1:11" x14ac:dyDescent="0.35">
      <c r="A107" s="5" t="s">
        <v>45</v>
      </c>
      <c r="B107" s="30">
        <f>SUMIFS('Outlook 5+7'!$B107:$M107,'Outlook 5+7'!$B$185:$M$185,'Outlook Quarterly 5+7'!B$4)</f>
        <v>536.83502799999997</v>
      </c>
      <c r="C107" s="8">
        <f>SUMIFS('Outlook 5+7'!$B107:$M107,'Outlook 5+7'!$B$185:$M$185,'Outlook Quarterly 5+7'!C$4)</f>
        <v>684.97908000000007</v>
      </c>
      <c r="D107" s="8">
        <f>SUMIFS('Outlook 5+7'!$B107:$M107,'Outlook 5+7'!$B$185:$M$185,'Outlook Quarterly 5+7'!D$4)</f>
        <v>172</v>
      </c>
      <c r="E107" s="8">
        <f>SUMIFS('Outlook 5+7'!$B107:$M107,'Outlook 5+7'!$B$185:$M$185,'Outlook Quarterly 5+7'!E$4)</f>
        <v>156.18589200000002</v>
      </c>
      <c r="F107" s="8">
        <f>SUM(B107:E107)</f>
        <v>1550</v>
      </c>
      <c r="H107" s="8">
        <f>'Budget 2025'!N112</f>
        <v>1200</v>
      </c>
      <c r="K107" s="32"/>
    </row>
    <row r="108" spans="1:11" s="2" customFormat="1" x14ac:dyDescent="0.35">
      <c r="A108" s="9" t="s">
        <v>43</v>
      </c>
      <c r="B108" s="11">
        <f t="shared" ref="B108:F108" si="18">IFERROR(B100/B104,0)</f>
        <v>9.1204716484436812</v>
      </c>
      <c r="C108" s="11">
        <f t="shared" si="18"/>
        <v>9.4295737564539408</v>
      </c>
      <c r="D108" s="11">
        <f t="shared" si="18"/>
        <v>13.129034791773778</v>
      </c>
      <c r="E108" s="11">
        <f t="shared" si="18"/>
        <v>13.519429244264254</v>
      </c>
      <c r="F108" s="11">
        <f t="shared" si="18"/>
        <v>11.02424238181818</v>
      </c>
      <c r="H108" s="11">
        <f>'Budget 2025'!N113</f>
        <v>11.36875</v>
      </c>
      <c r="K108" s="32"/>
    </row>
    <row r="109" spans="1:11" s="2" customFormat="1" x14ac:dyDescent="0.35">
      <c r="A109" s="9" t="s">
        <v>34</v>
      </c>
      <c r="B109" s="11">
        <f t="shared" ref="B109:F109" si="19">IFERROR(B100/B110,0)</f>
        <v>10.151995378760295</v>
      </c>
      <c r="C109" s="11">
        <f t="shared" si="19"/>
        <v>9.625443029656644</v>
      </c>
      <c r="D109" s="11">
        <f t="shared" si="19"/>
        <v>12.159986985714285</v>
      </c>
      <c r="E109" s="11">
        <f t="shared" si="19"/>
        <v>11.463202873674485</v>
      </c>
      <c r="F109" s="11">
        <f t="shared" si="19"/>
        <v>10.814506498216407</v>
      </c>
      <c r="H109" s="11">
        <f>'Budget 2025'!N114</f>
        <v>11.228395061728396</v>
      </c>
      <c r="K109" s="32"/>
    </row>
    <row r="110" spans="1:11" s="2" customFormat="1" x14ac:dyDescent="0.35">
      <c r="A110" s="9" t="s">
        <v>49</v>
      </c>
      <c r="B110" s="10">
        <f>B111+B117</f>
        <v>2142.3623600000001</v>
      </c>
      <c r="C110" s="10">
        <f t="shared" ref="C110:F110" si="20">C111+C117</f>
        <v>2236.25605</v>
      </c>
      <c r="D110" s="10">
        <f t="shared" si="20"/>
        <v>2100</v>
      </c>
      <c r="E110" s="10">
        <f t="shared" si="20"/>
        <v>1931.38159</v>
      </c>
      <c r="F110" s="10">
        <f t="shared" si="20"/>
        <v>8410</v>
      </c>
      <c r="H110" s="10">
        <f>'Budget 2025'!N115</f>
        <v>8100</v>
      </c>
      <c r="K110" s="32"/>
    </row>
    <row r="111" spans="1:11" s="2" customFormat="1" x14ac:dyDescent="0.35">
      <c r="A111" s="9" t="s">
        <v>89</v>
      </c>
      <c r="B111" s="10">
        <f>SUMIFS('Outlook 5+7'!$B111:$M111,'Outlook 5+7'!$B$185:$M$185,'Outlook Quarterly 5+7'!B$4)</f>
        <v>1740.8721599999999</v>
      </c>
      <c r="C111" s="10">
        <f>SUMIFS('Outlook 5+7'!$B111:$M111,'Outlook 5+7'!$B$185:$M$185,'Outlook Quarterly 5+7'!C$4)</f>
        <v>1513.3551600000001</v>
      </c>
      <c r="D111" s="10">
        <f>SUMIFS('Outlook 5+7'!$B111:$M111,'Outlook 5+7'!$B$185:$M$185,'Outlook Quarterly 5+7'!D$4)</f>
        <v>1500</v>
      </c>
      <c r="E111" s="10">
        <f>SUMIFS('Outlook 5+7'!$B111:$M111,'Outlook 5+7'!$B$185:$M$185,'Outlook Quarterly 5+7'!E$4)</f>
        <v>1345.77268</v>
      </c>
      <c r="F111" s="10">
        <f>SUM(B111:E111)</f>
        <v>6100</v>
      </c>
      <c r="H111" s="10">
        <f>'Budget 2025'!N116</f>
        <v>5560</v>
      </c>
      <c r="K111" s="32"/>
    </row>
    <row r="112" spans="1:11" x14ac:dyDescent="0.35">
      <c r="A112" s="5" t="s">
        <v>60</v>
      </c>
      <c r="B112" s="30">
        <f>IFERROR(SUMPRODUCT('Outlook 5+7'!$B112:$D112,'Outlook 5+7'!$B$111:$D$111)/SUM('Outlook 5+7'!$B$111:$D$111),0)</f>
        <v>6143.3409514719779</v>
      </c>
      <c r="C112" s="8">
        <f>IFERROR(SUMPRODUCT('Outlook 5+7'!$E112:$G112,'Outlook 5+7'!$E$111:$G$111)/SUM('Outlook 5+7'!$E$111:$G$111),0)</f>
        <v>6099.5557342452594</v>
      </c>
      <c r="D112" s="8">
        <f>IFERROR(SUMPRODUCT('Outlook 5+7'!$H112:$J112,'Outlook 5+7'!$H$111:$J$111)/SUM('Outlook 5+7'!$H$111:$J$111),0)</f>
        <v>5993.6327755085367</v>
      </c>
      <c r="E112" s="8">
        <f>IFERROR(SUMPRODUCT('Outlook 5+7'!$K112:$M112,'Outlook 5+7'!$K$111:$M$111)/SUM('Outlook 5+7'!$K$111:$M$111),0)</f>
        <v>5981.9488898476357</v>
      </c>
      <c r="F112" s="8">
        <f>SUMPRODUCT(B112:E112,$B$111:$E$111)/SUM($B$111:$E$111)</f>
        <v>6060.0586767720015</v>
      </c>
      <c r="H112" s="8">
        <f>'Budget 2025'!N117</f>
        <v>5915.2264206877153</v>
      </c>
      <c r="K112" s="32"/>
    </row>
    <row r="113" spans="1:11" x14ac:dyDescent="0.35">
      <c r="A113" s="5" t="s">
        <v>22</v>
      </c>
      <c r="B113" s="31">
        <f>IFERROR(SUMPRODUCT('Outlook 5+7'!$B113:$D113,'Outlook 5+7'!$B$111:$D$111)/SUM('Outlook 5+7'!$B$111:$D$111),0)</f>
        <v>0.53124865401678967</v>
      </c>
      <c r="C113" s="7">
        <f>IFERROR(SUMPRODUCT('Outlook 5+7'!$E113:$G113,'Outlook 5+7'!$E$111:$G$111)/SUM('Outlook 5+7'!$E$111:$G$111),0)</f>
        <v>0.58827681669179011</v>
      </c>
      <c r="D113" s="7">
        <f>IFERROR(SUMPRODUCT('Outlook 5+7'!$H113:$J113,'Outlook 5+7'!$H$111:$J$111)/SUM('Outlook 5+7'!$H$111:$J$111),0)</f>
        <v>0.55156410952941648</v>
      </c>
      <c r="E113" s="7">
        <f>IFERROR(SUMPRODUCT('Outlook 5+7'!$K113:$M113,'Outlook 5+7'!$K$111:$M$111)/SUM('Outlook 5+7'!$K$111:$M$111),0)</f>
        <v>0.55084898756855016</v>
      </c>
      <c r="F113" s="7">
        <f>SUMPRODUCT(B113:E113,$B$111:$E$111)/SUM($B$111:$E$111)</f>
        <v>0.55471662793995657</v>
      </c>
      <c r="H113" s="7">
        <f>'Budget 2025'!N118</f>
        <v>0.57720242104926189</v>
      </c>
      <c r="K113" s="32"/>
    </row>
    <row r="114" spans="1:11" x14ac:dyDescent="0.35">
      <c r="A114" s="5" t="s">
        <v>23</v>
      </c>
      <c r="B114" s="31">
        <f>IFERROR(SUMPRODUCT('Outlook 5+7'!$B114:$D114,'Outlook 5+7'!$B$111:$D$111)/SUM('Outlook 5+7'!$B$111:$D$111),0)</f>
        <v>4.4044611646016154</v>
      </c>
      <c r="C114" s="7">
        <f>IFERROR(SUMPRODUCT('Outlook 5+7'!$E114:$G114,'Outlook 5+7'!$E$111:$G$111)/SUM('Outlook 5+7'!$E$111:$G$111),0)</f>
        <v>3.9796247092672554</v>
      </c>
      <c r="D114" s="7">
        <f>IFERROR(SUMPRODUCT('Outlook 5+7'!$H114:$J114,'Outlook 5+7'!$H$111:$J$111)/SUM('Outlook 5+7'!$H$111:$J$111),0)</f>
        <v>4.0383623056739379</v>
      </c>
      <c r="E114" s="7">
        <f>IFERROR(SUMPRODUCT('Outlook 5+7'!$K114:$M114,'Outlook 5+7'!$K$111:$M$111)/SUM('Outlook 5+7'!$K$111:$M$111),0)</f>
        <v>3.9963122504064712</v>
      </c>
      <c r="F114" s="7">
        <f>(SUMPRODUCT(B114:E114,$B$111:$E$111)/SUM($B$111:$E$111))</f>
        <v>4.1189935599584402</v>
      </c>
      <c r="H114" s="7">
        <f>'Budget 2025'!N119</f>
        <v>4.8848465793008069</v>
      </c>
      <c r="K114" s="32"/>
    </row>
    <row r="115" spans="1:11" x14ac:dyDescent="0.35">
      <c r="A115" s="5" t="s">
        <v>38</v>
      </c>
      <c r="B115" s="31">
        <f>IFERROR(SUMPRODUCT('Outlook 5+7'!$B115:$D115,'Outlook 5+7'!$B$111:$D$111)/SUM('Outlook 5+7'!$B$111:$D$111),0)</f>
        <v>10.533314207067347</v>
      </c>
      <c r="C115" s="7">
        <f>IFERROR(SUMPRODUCT('Outlook 5+7'!$E115:$G115,'Outlook 5+7'!$E$111:$G$111)/SUM('Outlook 5+7'!$E$111:$G$111),0)</f>
        <v>11.12454568698614</v>
      </c>
      <c r="D115" s="7">
        <f>IFERROR(SUMPRODUCT('Outlook 5+7'!$H115:$J115,'Outlook 5+7'!$H$111:$J$111)/SUM('Outlook 5+7'!$H$111:$J$111),0)</f>
        <v>10.602479233295147</v>
      </c>
      <c r="E115" s="7">
        <f>IFERROR(SUMPRODUCT('Outlook 5+7'!$K115:$M115,'Outlook 5+7'!$K$111:$M$111)/SUM('Outlook 5+7'!$K$111:$M$111),0)</f>
        <v>10.456540185528388</v>
      </c>
      <c r="F115" s="7">
        <f>SUMPRODUCT(B115:E115,$B$111:$E$111)/SUM($B$111:$E$111)</f>
        <v>10.680063447970689</v>
      </c>
      <c r="H115" s="7">
        <f>'Budget 2025'!N120</f>
        <v>11.469446555956317</v>
      </c>
      <c r="K115" s="32"/>
    </row>
    <row r="116" spans="1:11" x14ac:dyDescent="0.35">
      <c r="A116" s="5" t="s">
        <v>25</v>
      </c>
      <c r="B116" s="31">
        <f>IFERROR(SUMPRODUCT('Outlook 5+7'!$B116:$D116,'Outlook 5+7'!$B$111:$D$111)/SUM('Outlook 5+7'!$B$111:$D$111),0)</f>
        <v>15.906094086775063</v>
      </c>
      <c r="C116" s="7">
        <f>IFERROR(SUMPRODUCT('Outlook 5+7'!$E116:$G116,'Outlook 5+7'!$E$111:$G$111)/SUM('Outlook 5+7'!$E$111:$G$111),0)</f>
        <v>16.278647166316301</v>
      </c>
      <c r="D116" s="7">
        <f>IFERROR(SUMPRODUCT('Outlook 5+7'!$H116:$J116,'Outlook 5+7'!$H$111:$J$111)/SUM('Outlook 5+7'!$H$111:$J$111),0)</f>
        <v>16.365985801543388</v>
      </c>
      <c r="E116" s="7">
        <f>IFERROR(SUMPRODUCT('Outlook 5+7'!$K116:$M116,'Outlook 5+7'!$K$111:$M$111)/SUM('Outlook 5+7'!$K$111:$M$111),0)</f>
        <v>16.462498825312284</v>
      </c>
      <c r="F116" s="7">
        <f>SUMPRODUCT(B116:E116,$B$111:$E$111)/SUM($B$111:$E$111)</f>
        <v>16.234362446380974</v>
      </c>
      <c r="H116" s="7">
        <f>'Budget 2025'!N121</f>
        <v>15.241913451679135</v>
      </c>
      <c r="K116" s="32"/>
    </row>
    <row r="117" spans="1:11" s="2" customFormat="1" x14ac:dyDescent="0.35">
      <c r="A117" s="9" t="s">
        <v>90</v>
      </c>
      <c r="B117" s="10">
        <f>SUMIFS('Outlook 5+7'!$B117:$M117,'Outlook 5+7'!$B$185:$M$185,'Outlook Quarterly 5+7'!B$4)</f>
        <v>401.49020000000007</v>
      </c>
      <c r="C117" s="10">
        <f>SUMIFS('Outlook 5+7'!$B117:$M117,'Outlook 5+7'!$B$185:$M$185,'Outlook Quarterly 5+7'!C$4)</f>
        <v>722.90088999999989</v>
      </c>
      <c r="D117" s="10">
        <f>SUMIFS('Outlook 5+7'!$B117:$M117,'Outlook 5+7'!$B$185:$M$185,'Outlook Quarterly 5+7'!D$4)</f>
        <v>600</v>
      </c>
      <c r="E117" s="10">
        <f>SUMIFS('Outlook 5+7'!$B117:$M117,'Outlook 5+7'!$B$185:$M$185,'Outlook Quarterly 5+7'!E$4)</f>
        <v>585.60891000000004</v>
      </c>
      <c r="F117" s="10">
        <f>SUM(B117:E117)</f>
        <v>2310</v>
      </c>
      <c r="H117" s="10">
        <f>'Budget 2025'!N122</f>
        <v>2540</v>
      </c>
      <c r="K117" s="32"/>
    </row>
    <row r="118" spans="1:11" x14ac:dyDescent="0.35">
      <c r="A118" s="5" t="s">
        <v>60</v>
      </c>
      <c r="B118" s="30">
        <f>IFERROR(SUMPRODUCT('Outlook 5+7'!$B118:$D118,'Outlook 5+7'!$B$117:$D$117)/SUM('Outlook 5+7'!$B$117:$D$117),0)</f>
        <v>6068.5303983263693</v>
      </c>
      <c r="C118" s="8">
        <f>IFERROR(SUMPRODUCT('Outlook 5+7'!$E118:$G118,'Outlook 5+7'!$E$117:$G$117)/SUM('Outlook 5+7'!$E$117:$G$117),0)</f>
        <v>6097.7612762789449</v>
      </c>
      <c r="D118" s="8">
        <f>IFERROR(SUMPRODUCT('Outlook 5+7'!$H118:$J118,'Outlook 5+7'!$H$117:$J$117)/SUM('Outlook 5+7'!$H$117:$J$117),0)</f>
        <v>6154.863467202561</v>
      </c>
      <c r="E118" s="8">
        <f>IFERROR(SUMPRODUCT('Outlook 5+7'!$K118:$M118,'Outlook 5+7'!$K$117:$M$117)/SUM('Outlook 5+7'!$K$117:$M$117),0)</f>
        <v>6179.833209493725</v>
      </c>
      <c r="F118" s="8">
        <f>SUMPRODUCT(B118:E118,$B$117:$E$117)/SUM($B$117:$E$117)</f>
        <v>6128.3186177812449</v>
      </c>
      <c r="H118" s="8">
        <f>'Budget 2025'!N123</f>
        <v>5792.8232136227871</v>
      </c>
      <c r="K118" s="32"/>
    </row>
    <row r="119" spans="1:11" x14ac:dyDescent="0.35">
      <c r="A119" s="5" t="s">
        <v>22</v>
      </c>
      <c r="B119" s="31">
        <f>IFERROR(SUMPRODUCT('Outlook 5+7'!$B119:$D119,'Outlook 5+7'!$B$117:$D$117)/SUM('Outlook 5+7'!$B$117:$D$117),0)</f>
        <v>1.9720963431228522</v>
      </c>
      <c r="C119" s="7">
        <f>IFERROR(SUMPRODUCT('Outlook 5+7'!$E119:$G119,'Outlook 5+7'!$E$117:$G$117)/SUM('Outlook 5+7'!$E$117:$G$117),0)</f>
        <v>1.8758291484023457</v>
      </c>
      <c r="D119" s="7">
        <f>IFERROR(SUMPRODUCT('Outlook 5+7'!$H119:$J119,'Outlook 5+7'!$H$117:$J$117)/SUM('Outlook 5+7'!$H$117:$J$117),0)</f>
        <v>1.8838708013111913</v>
      </c>
      <c r="E119" s="7">
        <f>IFERROR(SUMPRODUCT('Outlook 5+7'!$K119:$M119,'Outlook 5+7'!$K$117:$M$117)/SUM('Outlook 5+7'!$K$117:$M$117),0)</f>
        <v>1.9038289360742942</v>
      </c>
      <c r="F119" s="7">
        <f>SUMPRODUCT(B119:E119,$B$117:$E$117)/SUM($B$117:$E$117)</f>
        <v>1.9017478722750225</v>
      </c>
      <c r="H119" s="7">
        <f>'Budget 2025'!N124</f>
        <v>1.7606128453673298</v>
      </c>
      <c r="K119" s="32"/>
    </row>
    <row r="120" spans="1:11" x14ac:dyDescent="0.35">
      <c r="A120" s="5" t="s">
        <v>23</v>
      </c>
      <c r="B120" s="31">
        <f>IFERROR(SUMPRODUCT('Outlook 5+7'!$B120:$D120,'Outlook 5+7'!$B$117:$D$117)/SUM('Outlook 5+7'!$B$117:$D$117),0)</f>
        <v>5.4115621339721738</v>
      </c>
      <c r="C120" s="7">
        <f>IFERROR(SUMPRODUCT('Outlook 5+7'!$E120:$G120,'Outlook 5+7'!$E$117:$G$117)/SUM('Outlook 5+7'!$E$117:$G$117),0)</f>
        <v>5.7894204937127194</v>
      </c>
      <c r="D120" s="7">
        <f>IFERROR(SUMPRODUCT('Outlook 5+7'!$H120:$J120,'Outlook 5+7'!$H$117:$J$117)/SUM('Outlook 5+7'!$H$117:$J$117),0)</f>
        <v>5.2343767760016284</v>
      </c>
      <c r="E120" s="7">
        <f>IFERROR(SUMPRODUCT('Outlook 5+7'!$K120:$M120,'Outlook 5+7'!$K$117:$M$117)/SUM('Outlook 5+7'!$K$117:$M$117),0)</f>
        <v>5.2486744374503171</v>
      </c>
      <c r="F120" s="7">
        <f>(SUMPRODUCT(B120:E120,$B$117:$E$117)/SUM($B$117:$E$117))</f>
        <v>5.4424947934334202</v>
      </c>
      <c r="H120" s="7">
        <f>'Budget 2025'!N125</f>
        <v>5.7572096518405811</v>
      </c>
      <c r="K120" s="32"/>
    </row>
    <row r="121" spans="1:11" x14ac:dyDescent="0.35">
      <c r="A121" s="5" t="s">
        <v>38</v>
      </c>
      <c r="B121" s="31">
        <f>IFERROR(SUMPRODUCT('Outlook 5+7'!$B121:$D121,'Outlook 5+7'!$B$117:$D$117)/SUM('Outlook 5+7'!$B$117:$D$117),0)</f>
        <v>10.496518355904954</v>
      </c>
      <c r="C121" s="7">
        <f>IFERROR(SUMPRODUCT('Outlook 5+7'!$E121:$G121,'Outlook 5+7'!$E$117:$G$117)/SUM('Outlook 5+7'!$E$117:$G$117),0)</f>
        <v>10.209730961140869</v>
      </c>
      <c r="D121" s="7">
        <f>IFERROR(SUMPRODUCT('Outlook 5+7'!$H121:$J121,'Outlook 5+7'!$H$117:$J$117)/SUM('Outlook 5+7'!$H$117:$J$117),0)</f>
        <v>10.194925745755706</v>
      </c>
      <c r="E121" s="7">
        <f>IFERROR(SUMPRODUCT('Outlook 5+7'!$K121:$M121,'Outlook 5+7'!$K$117:$M$117)/SUM('Outlook 5+7'!$K$117:$M$117),0)</f>
        <v>10.615155606281375</v>
      </c>
      <c r="F121" s="7">
        <f>SUMPRODUCT(B121:E121,$B$117:$E$117)/SUM($B$117:$E$117)</f>
        <v>10.358509958447398</v>
      </c>
      <c r="H121" s="7">
        <f>'Budget 2025'!N126</f>
        <v>10.736864071482877</v>
      </c>
      <c r="K121" s="32"/>
    </row>
    <row r="122" spans="1:11" x14ac:dyDescent="0.35">
      <c r="A122" s="5" t="s">
        <v>25</v>
      </c>
      <c r="B122" s="31">
        <f>IFERROR(SUMPRODUCT('Outlook 5+7'!$B122:$D122,'Outlook 5+7'!$B$117:$D$117)/SUM('Outlook 5+7'!$B$117:$D$117),0)</f>
        <v>15.613557844756619</v>
      </c>
      <c r="C122" s="7">
        <f>IFERROR(SUMPRODUCT('Outlook 5+7'!$E122:$G122,'Outlook 5+7'!$E$117:$G$117)/SUM('Outlook 5+7'!$E$117:$G$117),0)</f>
        <v>14.889878122031515</v>
      </c>
      <c r="D122" s="7">
        <f>IFERROR(SUMPRODUCT('Outlook 5+7'!$H122:$J122,'Outlook 5+7'!$H$117:$J$117)/SUM('Outlook 5+7'!$H$117:$J$117),0)</f>
        <v>14.21847600574214</v>
      </c>
      <c r="E122" s="7">
        <f>IFERROR(SUMPRODUCT('Outlook 5+7'!$K122:$M122,'Outlook 5+7'!$K$117:$M$117)/SUM('Outlook 5+7'!$K$117:$M$117),0)</f>
        <v>14.276636744834622</v>
      </c>
      <c r="F122" s="7">
        <f>SUMPRODUCT(B122:E122,$B$117:$E$117)/SUM($B$117:$E$117)</f>
        <v>14.685804283231537</v>
      </c>
      <c r="H122" s="7">
        <f>'Budget 2025'!N127</f>
        <v>14.551758700752847</v>
      </c>
      <c r="K122" s="32"/>
    </row>
    <row r="123" spans="1:11" x14ac:dyDescent="0.35">
      <c r="K123" s="32"/>
    </row>
    <row r="124" spans="1:11" x14ac:dyDescent="0.35">
      <c r="A124" s="6" t="s">
        <v>44</v>
      </c>
      <c r="B124" s="6" t="s">
        <v>93</v>
      </c>
      <c r="C124" s="6" t="s">
        <v>94</v>
      </c>
      <c r="D124" s="6" t="s">
        <v>95</v>
      </c>
      <c r="E124" s="6" t="s">
        <v>96</v>
      </c>
      <c r="F124" s="6" t="s">
        <v>13</v>
      </c>
      <c r="G124" s="4"/>
      <c r="H124" s="6" t="s">
        <v>84</v>
      </c>
      <c r="K124" s="32"/>
    </row>
    <row r="125" spans="1:11" s="2" customFormat="1" x14ac:dyDescent="0.35">
      <c r="A125" s="9" t="s">
        <v>14</v>
      </c>
      <c r="B125" s="10">
        <f t="shared" ref="B125:F125" si="21">SUM(B126:B126)</f>
        <v>0</v>
      </c>
      <c r="C125" s="10">
        <f t="shared" si="21"/>
        <v>160</v>
      </c>
      <c r="D125" s="10">
        <f t="shared" si="21"/>
        <v>904</v>
      </c>
      <c r="E125" s="10">
        <f t="shared" si="21"/>
        <v>1055</v>
      </c>
      <c r="F125" s="10">
        <f t="shared" si="21"/>
        <v>2119</v>
      </c>
      <c r="H125" s="10">
        <f>'Budget 2025'!N130</f>
        <v>5038.6080002984163</v>
      </c>
      <c r="I125" s="27">
        <f>F125/H125</f>
        <v>0.42055266055118801</v>
      </c>
      <c r="K125" s="32"/>
    </row>
    <row r="126" spans="1:11" x14ac:dyDescent="0.35">
      <c r="A126" s="5" t="s">
        <v>69</v>
      </c>
      <c r="B126" s="30">
        <f>SUMIFS('Outlook 5+7'!$B126:$M126,'Outlook 5+7'!$B$185:$M$185,'Outlook Quarterly 5+7'!B$4)</f>
        <v>0</v>
      </c>
      <c r="C126" s="8">
        <f>SUMIFS('Outlook 5+7'!$B126:$M126,'Outlook 5+7'!$B$185:$M$185,'Outlook Quarterly 5+7'!C$4)</f>
        <v>160</v>
      </c>
      <c r="D126" s="8">
        <f>SUMIFS('Outlook 5+7'!$B126:$M126,'Outlook 5+7'!$B$185:$M$185,'Outlook Quarterly 5+7'!D$4)</f>
        <v>904</v>
      </c>
      <c r="E126" s="8">
        <f>SUMIFS('Outlook 5+7'!$B126:$M126,'Outlook 5+7'!$B$185:$M$185,'Outlook Quarterly 5+7'!E$4)</f>
        <v>1055</v>
      </c>
      <c r="F126" s="8">
        <f>SUM(B126:E126)</f>
        <v>2119</v>
      </c>
      <c r="H126" s="8">
        <f>'Budget 2025'!N131</f>
        <v>5038.6080002984163</v>
      </c>
      <c r="K126" s="32"/>
    </row>
    <row r="127" spans="1:11" s="2" customFormat="1" x14ac:dyDescent="0.35">
      <c r="A127" s="9" t="s">
        <v>17</v>
      </c>
      <c r="B127" s="10">
        <f t="shared" ref="B127:E127" si="22">SUM(B128:B128)</f>
        <v>0</v>
      </c>
      <c r="C127" s="10">
        <f t="shared" si="22"/>
        <v>0</v>
      </c>
      <c r="D127" s="10">
        <f t="shared" si="22"/>
        <v>26</v>
      </c>
      <c r="E127" s="10">
        <f t="shared" si="22"/>
        <v>174</v>
      </c>
      <c r="F127" s="10">
        <f>SUM(B127:E127)</f>
        <v>200</v>
      </c>
      <c r="H127" s="10">
        <f>'Budget 2025'!N132</f>
        <v>448</v>
      </c>
      <c r="I127" s="27">
        <f>F127/H127</f>
        <v>0.44642857142857145</v>
      </c>
      <c r="K127" s="32"/>
    </row>
    <row r="128" spans="1:11" x14ac:dyDescent="0.35">
      <c r="A128" s="5" t="s">
        <v>69</v>
      </c>
      <c r="B128" s="30">
        <f>SUMIFS('Outlook 5+7'!$B128:$M128,'Outlook 5+7'!$B$185:$M$185,'Outlook Quarterly 5+7'!B$4)</f>
        <v>0</v>
      </c>
      <c r="C128" s="8">
        <f>SUMIFS('Outlook 5+7'!$B128:$M128,'Outlook 5+7'!$B$185:$M$185,'Outlook Quarterly 5+7'!C$4)</f>
        <v>0</v>
      </c>
      <c r="D128" s="8">
        <f>SUMIFS('Outlook 5+7'!$B128:$M128,'Outlook 5+7'!$B$185:$M$185,'Outlook Quarterly 5+7'!D$4)</f>
        <v>26</v>
      </c>
      <c r="E128" s="8">
        <f>SUMIFS('Outlook 5+7'!$B128:$M128,'Outlook 5+7'!$B$185:$M$185,'Outlook Quarterly 5+7'!E$4)</f>
        <v>174</v>
      </c>
      <c r="F128" s="8">
        <f>SUM(B128:E128)</f>
        <v>200</v>
      </c>
      <c r="H128" s="8">
        <f>'Budget 2025'!N133</f>
        <v>448</v>
      </c>
      <c r="K128" s="32"/>
    </row>
    <row r="129" spans="1:11" s="2" customFormat="1" x14ac:dyDescent="0.35">
      <c r="A129" s="9" t="s">
        <v>43</v>
      </c>
      <c r="B129" s="11">
        <f t="shared" ref="B129:E129" si="23">IFERROR(B125/B127,0)</f>
        <v>0</v>
      </c>
      <c r="C129" s="11">
        <f t="shared" si="23"/>
        <v>0</v>
      </c>
      <c r="D129" s="11">
        <f t="shared" si="23"/>
        <v>34.769230769230766</v>
      </c>
      <c r="E129" s="11">
        <f t="shared" si="23"/>
        <v>6.0632183908045976</v>
      </c>
      <c r="F129" s="11">
        <f>F125/F127</f>
        <v>10.595000000000001</v>
      </c>
      <c r="H129" s="11">
        <f>'Budget 2025'!N134</f>
        <v>11.246892857808964</v>
      </c>
      <c r="K129" s="32"/>
    </row>
    <row r="130" spans="1:11" s="2" customFormat="1" x14ac:dyDescent="0.35">
      <c r="A130" s="9" t="s">
        <v>34</v>
      </c>
      <c r="B130" s="11">
        <f t="shared" ref="B130:E130" si="24">IFERROR(B125/B132,0)</f>
        <v>0</v>
      </c>
      <c r="C130" s="11">
        <f t="shared" si="24"/>
        <v>0</v>
      </c>
      <c r="D130" s="11">
        <f t="shared" si="24"/>
        <v>37.666666666666664</v>
      </c>
      <c r="E130" s="11">
        <f t="shared" si="24"/>
        <v>6.1695906432748542</v>
      </c>
      <c r="F130" s="11">
        <f>F125/F132</f>
        <v>10.866666666666667</v>
      </c>
      <c r="H130" s="11">
        <f>'Budget 2025'!N135</f>
        <v>11.63650808383006</v>
      </c>
      <c r="K130" s="32"/>
    </row>
    <row r="131" spans="1:11" s="2" customFormat="1" x14ac:dyDescent="0.35">
      <c r="A131" s="9" t="s">
        <v>46</v>
      </c>
      <c r="B131" s="10">
        <f>SUMIFS('Outlook 5+7'!$B131:$M131,'Outlook 5+7'!$B$185:$M$185,'Outlook Quarterly 5+7'!B$4)</f>
        <v>0</v>
      </c>
      <c r="C131" s="10">
        <f>SUMIFS('Outlook 5+7'!$B131:$M131,'Outlook 5+7'!$B$185:$M$185,'Outlook Quarterly 5+7'!C$4)</f>
        <v>0</v>
      </c>
      <c r="D131" s="10">
        <f>SUMIFS('Outlook 5+7'!$B131:$M131,'Outlook 5+7'!$B$185:$M$185,'Outlook Quarterly 5+7'!D$4)</f>
        <v>37.299999999999997</v>
      </c>
      <c r="E131" s="10">
        <f>SUMIFS('Outlook 5+7'!$B131:$M131,'Outlook 5+7'!$B$185:$M$185,'Outlook Quarterly 5+7'!E$4)</f>
        <v>185.20000000000002</v>
      </c>
      <c r="F131" s="10">
        <f>SUM(B131:E131)</f>
        <v>222.5</v>
      </c>
      <c r="H131" s="10">
        <f>'Budget 2025'!N136</f>
        <v>430.7</v>
      </c>
      <c r="K131" s="32"/>
    </row>
    <row r="132" spans="1:11" s="2" customFormat="1" x14ac:dyDescent="0.35">
      <c r="A132" s="9" t="s">
        <v>50</v>
      </c>
      <c r="B132" s="10">
        <f>SUMIFS('Outlook 5+7'!$B132:$M132,'Outlook 5+7'!$B$185:$M$185,'Outlook Quarterly 5+7'!B$4)</f>
        <v>0</v>
      </c>
      <c r="C132" s="10">
        <f>SUMIFS('Outlook 5+7'!$B132:$M132,'Outlook 5+7'!$B$185:$M$185,'Outlook Quarterly 5+7'!C$4)</f>
        <v>0</v>
      </c>
      <c r="D132" s="10">
        <f>SUMIFS('Outlook 5+7'!$B132:$M132,'Outlook 5+7'!$B$185:$M$185,'Outlook Quarterly 5+7'!D$4)</f>
        <v>24</v>
      </c>
      <c r="E132" s="10">
        <f>SUMIFS('Outlook 5+7'!$B132:$M132,'Outlook 5+7'!$B$185:$M$185,'Outlook Quarterly 5+7'!E$4)</f>
        <v>171</v>
      </c>
      <c r="F132" s="10">
        <f>SUM(B132:E132)</f>
        <v>195</v>
      </c>
      <c r="H132" s="10">
        <f>'Budget 2025'!N137</f>
        <v>433</v>
      </c>
      <c r="K132" s="32"/>
    </row>
    <row r="133" spans="1:11" x14ac:dyDescent="0.35">
      <c r="A133" s="5" t="s">
        <v>60</v>
      </c>
      <c r="B133" s="30">
        <f>IFERROR(SUMPRODUCT('Outlook 5+7'!$B133:$D133,'Outlook 5+7'!$B$132:$D$132)/SUM('Outlook 5+7'!$B$132:$D$132),0)</f>
        <v>0</v>
      </c>
      <c r="C133" s="8">
        <f>IFERROR(SUMPRODUCT('Outlook 5+7'!$E133:$G133,'Outlook 5+7'!$E$132:$G$132)/SUM('Outlook 5+7'!$E$132:$G$132),0)</f>
        <v>0</v>
      </c>
      <c r="D133" s="8">
        <f>IFERROR(SUMPRODUCT('Outlook 5+7'!$H133:$J133,'Outlook 5+7'!$H$132:$J$132)/SUM('Outlook 5+7'!$H$132:$J$132),0)</f>
        <v>4437.3537269281915</v>
      </c>
      <c r="E133" s="8">
        <f>IFERROR(SUMPRODUCT('Outlook 5+7'!$K133:$M133,'Outlook 5+7'!$K$132:$M$132)/SUM('Outlook 5+7'!$K$132:$M$132),0)</f>
        <v>4340.4136148515763</v>
      </c>
      <c r="F133" s="8">
        <f>SUMPRODUCT(B133:E133,$B$132:$E$132)/SUM($B$132:$E$132)</f>
        <v>4352.3447055686984</v>
      </c>
      <c r="H133" s="8">
        <f>'Budget 2025'!N138</f>
        <v>4423.7945910311291</v>
      </c>
      <c r="K133" s="32"/>
    </row>
    <row r="134" spans="1:11" x14ac:dyDescent="0.35">
      <c r="A134" s="5" t="s">
        <v>22</v>
      </c>
      <c r="B134" s="30">
        <f>IFERROR(SUMPRODUCT('Outlook 5+7'!$B134:$D134,'Outlook 5+7'!$B$132:$D$132)/SUM('Outlook 5+7'!$B$132:$D$132),0)</f>
        <v>0</v>
      </c>
      <c r="C134" s="7">
        <f>IFERROR(SUMPRODUCT('Outlook 5+7'!$E134:$G134,'Outlook 5+7'!$E$132:$G$132)/SUM('Outlook 5+7'!$E$132:$G$132),0)</f>
        <v>0</v>
      </c>
      <c r="D134" s="7">
        <f>IFERROR(SUMPRODUCT('Outlook 5+7'!$H134:$J134,'Outlook 5+7'!$H$132:$J$132)/SUM('Outlook 5+7'!$H$132:$J$132),0)</f>
        <v>0.42332250002790289</v>
      </c>
      <c r="E134" s="7">
        <f>IFERROR(SUMPRODUCT('Outlook 5+7'!$K134:$M134,'Outlook 5+7'!$K$132:$M$132)/SUM('Outlook 5+7'!$K$132:$M$132),0)</f>
        <v>0.36636194442281056</v>
      </c>
      <c r="F134" s="15">
        <f>SUMPRODUCT(B134:E134,$B$132:$E$132)/SUM($B$132:$E$132)</f>
        <v>0.37337247434343729</v>
      </c>
      <c r="H134" s="7">
        <f>'Budget 2025'!N139</f>
        <v>0.36898824350858472</v>
      </c>
      <c r="K134" s="32"/>
    </row>
    <row r="135" spans="1:11" x14ac:dyDescent="0.35">
      <c r="A135" s="5" t="s">
        <v>23</v>
      </c>
      <c r="B135" s="30">
        <f>IFERROR(SUMPRODUCT('Outlook 5+7'!$B135:$D135,'Outlook 5+7'!$B$132:$D$132)/SUM('Outlook 5+7'!$B$132:$D$132),0)</f>
        <v>0</v>
      </c>
      <c r="C135" s="7">
        <f>IFERROR(SUMPRODUCT('Outlook 5+7'!$E135:$G135,'Outlook 5+7'!$E$132:$G$132)/SUM('Outlook 5+7'!$E$132:$G$132),0)</f>
        <v>0</v>
      </c>
      <c r="D135" s="7">
        <f>IFERROR(SUMPRODUCT('Outlook 5+7'!$H135:$J135,'Outlook 5+7'!$H$132:$J$132)/SUM('Outlook 5+7'!$H$132:$J$132),0)</f>
        <v>4.8364827173919283</v>
      </c>
      <c r="E135" s="7">
        <f>IFERROR(SUMPRODUCT('Outlook 5+7'!$K135:$M135,'Outlook 5+7'!$K$132:$M$132)/SUM('Outlook 5+7'!$K$132:$M$132),0)</f>
        <v>5.3241808665370867</v>
      </c>
      <c r="F135" s="15">
        <f>SUMPRODUCT(B135:E135,$B$132:$E$132)/SUM($B$132:$E$132)</f>
        <v>5.2641564789499906</v>
      </c>
      <c r="H135" s="7">
        <f>'Budget 2025'!N140</f>
        <v>4.4323109091173567</v>
      </c>
      <c r="K135" s="32"/>
    </row>
    <row r="136" spans="1:11" x14ac:dyDescent="0.35">
      <c r="A136" s="5" t="s">
        <v>38</v>
      </c>
      <c r="B136" s="30">
        <f>IFERROR(SUMPRODUCT('Outlook 5+7'!$B136:$D136,'Outlook 5+7'!$B$132:$D$132)/SUM('Outlook 5+7'!$B$132:$D$132),0)</f>
        <v>0</v>
      </c>
      <c r="C136" s="7">
        <f>IFERROR(SUMPRODUCT('Outlook 5+7'!$E136:$G136,'Outlook 5+7'!$E$132:$G$132)/SUM('Outlook 5+7'!$E$132:$G$132),0)</f>
        <v>0</v>
      </c>
      <c r="D136" s="7">
        <f>IFERROR(SUMPRODUCT('Outlook 5+7'!$H136:$J136,'Outlook 5+7'!$H$132:$J$132)/SUM('Outlook 5+7'!$H$132:$J$132),0)</f>
        <v>17.010578197137864</v>
      </c>
      <c r="E136" s="7">
        <f>IFERROR(SUMPRODUCT('Outlook 5+7'!$K136:$M136,'Outlook 5+7'!$K$132:$M$132)/SUM('Outlook 5+7'!$K$132:$M$132),0)</f>
        <v>16.178573771755616</v>
      </c>
      <c r="F136" s="15">
        <f>SUMPRODUCT(B136:E136,$B$132:$E$132)/SUM($B$132:$E$132)</f>
        <v>16.280974316418046</v>
      </c>
      <c r="H136" s="7">
        <f>'Budget 2025'!N141</f>
        <v>16.92589236972162</v>
      </c>
      <c r="K136" s="32"/>
    </row>
    <row r="137" spans="1:11" x14ac:dyDescent="0.35">
      <c r="A137" s="5" t="s">
        <v>25</v>
      </c>
      <c r="B137" s="30">
        <f>IFERROR(SUMPRODUCT('Outlook 5+7'!$B137:$D137,'Outlook 5+7'!$B$132:$D$132)/SUM('Outlook 5+7'!$B$132:$D$132),0)</f>
        <v>0</v>
      </c>
      <c r="C137" s="7">
        <f>IFERROR(SUMPRODUCT('Outlook 5+7'!$E137:$G137,'Outlook 5+7'!$E$132:$G$132)/SUM('Outlook 5+7'!$E$132:$G$132),0)</f>
        <v>0</v>
      </c>
      <c r="D137" s="7">
        <f>IFERROR(SUMPRODUCT('Outlook 5+7'!$H137:$J137,'Outlook 5+7'!$H$132:$J$132)/SUM('Outlook 5+7'!$H$132:$J$132),0)</f>
        <v>29.686640197124433</v>
      </c>
      <c r="E137" s="7">
        <f>IFERROR(SUMPRODUCT('Outlook 5+7'!$K137:$M137,'Outlook 5+7'!$K$132:$M$132)/SUM('Outlook 5+7'!$K$132:$M$132),0)</f>
        <v>30.015493858484369</v>
      </c>
      <c r="F137" s="15">
        <f>SUMPRODUCT(B137:E137,$B$132:$E$132)/SUM($B$132:$E$132)</f>
        <v>29.975019561701604</v>
      </c>
      <c r="H137" s="7">
        <f>'Budget 2025'!N142</f>
        <v>30.236602375317773</v>
      </c>
      <c r="K137" s="32"/>
    </row>
    <row r="138" spans="1:11" x14ac:dyDescent="0.35">
      <c r="K138" s="32"/>
    </row>
    <row r="139" spans="1:11" x14ac:dyDescent="0.35">
      <c r="A139" s="6" t="s">
        <v>52</v>
      </c>
      <c r="B139" s="6" t="s">
        <v>93</v>
      </c>
      <c r="C139" s="6" t="s">
        <v>94</v>
      </c>
      <c r="D139" s="6" t="s">
        <v>95</v>
      </c>
      <c r="E139" s="6" t="s">
        <v>96</v>
      </c>
      <c r="F139" s="6" t="s">
        <v>13</v>
      </c>
      <c r="G139" s="4"/>
      <c r="H139" s="6" t="s">
        <v>84</v>
      </c>
      <c r="K139" s="32"/>
    </row>
    <row r="140" spans="1:11" x14ac:dyDescent="0.35">
      <c r="A140" s="9" t="s">
        <v>14</v>
      </c>
      <c r="B140" s="10">
        <f>B141</f>
        <v>1701.9404576999996</v>
      </c>
      <c r="C140" s="10">
        <f t="shared" ref="C140:E140" si="25">C141</f>
        <v>1802.6896118</v>
      </c>
      <c r="D140" s="10">
        <f t="shared" si="25"/>
        <v>2465</v>
      </c>
      <c r="E140" s="10">
        <f t="shared" si="25"/>
        <v>2530.3699305000009</v>
      </c>
      <c r="F140" s="10">
        <f>SUM(B140:E140)</f>
        <v>8500</v>
      </c>
      <c r="G140" s="2"/>
      <c r="H140" s="10">
        <f>'Budget 2025'!N145</f>
        <v>8500</v>
      </c>
      <c r="I140" s="27">
        <f>F140/H140</f>
        <v>1</v>
      </c>
      <c r="K140" s="32"/>
    </row>
    <row r="141" spans="1:11" x14ac:dyDescent="0.35">
      <c r="A141" s="5" t="s">
        <v>71</v>
      </c>
      <c r="B141" s="30">
        <f>SUMIFS('Outlook 5+7'!$B141:$M141,'Outlook 5+7'!$B$185:$M$185,'Outlook Quarterly 5+7'!B$4)</f>
        <v>1701.9404576999996</v>
      </c>
      <c r="C141" s="8">
        <f>SUMIFS('Outlook 5+7'!$B141:$M141,'Outlook 5+7'!$B$185:$M$185,'Outlook Quarterly 5+7'!C$4)</f>
        <v>1802.6896118</v>
      </c>
      <c r="D141" s="8">
        <f>SUMIFS('Outlook 5+7'!$B141:$M141,'Outlook 5+7'!$B$185:$M$185,'Outlook Quarterly 5+7'!D$4)</f>
        <v>2465</v>
      </c>
      <c r="E141" s="8">
        <f>SUMIFS('Outlook 5+7'!$B141:$M141,'Outlook 5+7'!$B$185:$M$185,'Outlook Quarterly 5+7'!E$4)</f>
        <v>2530.3699305000009</v>
      </c>
      <c r="F141" s="8">
        <f>SUM(B141:E141)</f>
        <v>8500</v>
      </c>
      <c r="H141" s="8">
        <f>'Budget 2025'!N146</f>
        <v>8500</v>
      </c>
      <c r="K141" s="32"/>
    </row>
    <row r="142" spans="1:11" x14ac:dyDescent="0.35">
      <c r="A142" s="9" t="s">
        <v>17</v>
      </c>
      <c r="B142" s="10">
        <f t="shared" ref="B142:F142" si="26">SUM(B143:B145)</f>
        <v>602.30646200000001</v>
      </c>
      <c r="C142" s="10">
        <f t="shared" si="26"/>
        <v>600.26803499999994</v>
      </c>
      <c r="D142" s="10">
        <f t="shared" si="26"/>
        <v>390</v>
      </c>
      <c r="E142" s="10">
        <f t="shared" si="26"/>
        <v>507.42550299999994</v>
      </c>
      <c r="F142" s="10">
        <f t="shared" si="26"/>
        <v>2100</v>
      </c>
      <c r="G142" s="2"/>
      <c r="H142" s="10">
        <f>'Budget 2025'!N147</f>
        <v>2100</v>
      </c>
      <c r="I142" s="27">
        <f>F142/H142</f>
        <v>1</v>
      </c>
      <c r="K142" s="32"/>
    </row>
    <row r="143" spans="1:11" x14ac:dyDescent="0.35">
      <c r="A143" s="5" t="s">
        <v>71</v>
      </c>
      <c r="B143" s="30">
        <f>SUMIFS('Outlook 5+7'!$B143:$M143,'Outlook 5+7'!$B$185:$M$185,'Outlook Quarterly 5+7'!B$4)</f>
        <v>467.62239499999998</v>
      </c>
      <c r="C143" s="8">
        <f>SUMIFS('Outlook 5+7'!$B143:$M143,'Outlook 5+7'!$B$185:$M$185,'Outlook Quarterly 5+7'!C$4)</f>
        <v>494.85897499999999</v>
      </c>
      <c r="D143" s="8">
        <f>SUMIFS('Outlook 5+7'!$B143:$M143,'Outlook 5+7'!$B$185:$M$185,'Outlook Quarterly 5+7'!D$4)</f>
        <v>289.54017857142856</v>
      </c>
      <c r="E143" s="8">
        <f>SUMIFS('Outlook 5+7'!$B143:$M143,'Outlook 5+7'!$B$185:$M$185,'Outlook Quarterly 5+7'!E$4)</f>
        <v>381.11047735988609</v>
      </c>
      <c r="F143" s="8">
        <f>SUM(B143:E143)</f>
        <v>1633.1320259313145</v>
      </c>
      <c r="H143" s="8">
        <f>'Budget 2025'!N148</f>
        <v>1467</v>
      </c>
      <c r="K143" s="32"/>
    </row>
    <row r="144" spans="1:11" x14ac:dyDescent="0.35">
      <c r="A144" s="5" t="s">
        <v>72</v>
      </c>
      <c r="B144" s="30">
        <f>SUMIFS('Outlook 5+7'!$B144:$M144,'Outlook 5+7'!$B$185:$M$185,'Outlook Quarterly 5+7'!B$4)</f>
        <v>134.684067</v>
      </c>
      <c r="C144" s="8">
        <f>SUMIFS('Outlook 5+7'!$B144:$M144,'Outlook 5+7'!$B$185:$M$185,'Outlook Quarterly 5+7'!C$4)</f>
        <v>105.40906</v>
      </c>
      <c r="D144" s="8">
        <f>SUMIFS('Outlook 5+7'!$B144:$M144,'Outlook 5+7'!$B$185:$M$185,'Outlook Quarterly 5+7'!D$4)</f>
        <v>100.45982142857143</v>
      </c>
      <c r="E144" s="8">
        <f>SUMIFS('Outlook 5+7'!$B144:$M144,'Outlook 5+7'!$B$185:$M$185,'Outlook Quarterly 5+7'!E$4)</f>
        <v>126.31502564011382</v>
      </c>
      <c r="F144" s="8">
        <f>SUM(B144:E144)</f>
        <v>466.86797406868527</v>
      </c>
      <c r="H144" s="8">
        <f>'Budget 2025'!N149</f>
        <v>633</v>
      </c>
      <c r="K144" s="32"/>
    </row>
    <row r="145" spans="1:11" hidden="1" x14ac:dyDescent="0.35">
      <c r="A145" s="5" t="s">
        <v>74</v>
      </c>
      <c r="B145" s="8"/>
      <c r="C145" s="8"/>
      <c r="D145" s="8"/>
      <c r="E145" s="8"/>
      <c r="F145" s="8">
        <f>SUM(B145:E145)</f>
        <v>0</v>
      </c>
      <c r="H145" s="8"/>
      <c r="K145" s="32"/>
    </row>
    <row r="146" spans="1:11" x14ac:dyDescent="0.35">
      <c r="A146" s="9" t="s">
        <v>43</v>
      </c>
      <c r="B146" s="11">
        <f>IFERROR(B140/B142,0)</f>
        <v>2.8257051270022728</v>
      </c>
      <c r="C146" s="11">
        <f t="shared" ref="C146:F146" si="27">C140/C142</f>
        <v>3.0031411081218078</v>
      </c>
      <c r="D146" s="11">
        <f t="shared" si="27"/>
        <v>6.3205128205128203</v>
      </c>
      <c r="E146" s="11">
        <f t="shared" si="27"/>
        <v>4.9866826076733499</v>
      </c>
      <c r="F146" s="11">
        <f t="shared" si="27"/>
        <v>4.0476190476190474</v>
      </c>
      <c r="G146" s="2"/>
      <c r="H146" s="11">
        <f>'Budget 2025'!N150</f>
        <v>4.0476190476190474</v>
      </c>
      <c r="K146" s="32"/>
    </row>
    <row r="147" spans="1:11" x14ac:dyDescent="0.35">
      <c r="A147" s="9" t="s">
        <v>34</v>
      </c>
      <c r="B147" s="11">
        <f>IFERROR(B140/B148,0)</f>
        <v>2.7345724967969907</v>
      </c>
      <c r="C147" s="11">
        <f t="shared" ref="C147:F147" si="28">C140/C148</f>
        <v>3.1902804173010648</v>
      </c>
      <c r="D147" s="11">
        <f t="shared" si="28"/>
        <v>9.1296296296296298</v>
      </c>
      <c r="E147" s="11">
        <f t="shared" si="28"/>
        <v>4.270203680909364</v>
      </c>
      <c r="F147" s="11">
        <f t="shared" si="28"/>
        <v>4.1463414634146343</v>
      </c>
      <c r="G147" s="2"/>
      <c r="H147" s="11">
        <f>'Budget 2025'!N151</f>
        <v>4.1463414634146343</v>
      </c>
      <c r="K147" s="32"/>
    </row>
    <row r="148" spans="1:11" x14ac:dyDescent="0.35">
      <c r="A148" s="9" t="s">
        <v>47</v>
      </c>
      <c r="B148" s="10">
        <f>SUMIFS('Outlook 5+7'!$B148:$M148,'Outlook 5+7'!$B$185:$M$185,'Outlook Quarterly 5+7'!B$4)</f>
        <v>622.37898600000005</v>
      </c>
      <c r="C148" s="10">
        <f>SUMIFS('Outlook 5+7'!$B148:$M148,'Outlook 5+7'!$B$185:$M$185,'Outlook Quarterly 5+7'!C$4)</f>
        <v>565.05678999999998</v>
      </c>
      <c r="D148" s="10">
        <f>SUMIFS('Outlook 5+7'!$B148:$M148,'Outlook 5+7'!$B$185:$M$185,'Outlook Quarterly 5+7'!D$4)</f>
        <v>270</v>
      </c>
      <c r="E148" s="10">
        <f>SUMIFS('Outlook 5+7'!$B148:$M148,'Outlook 5+7'!$B$185:$M$185,'Outlook Quarterly 5+7'!E$4)</f>
        <v>592.56422399999997</v>
      </c>
      <c r="F148" s="10">
        <f>SUM(B148:E148)</f>
        <v>2050</v>
      </c>
      <c r="G148" s="2"/>
      <c r="H148" s="10">
        <f>'Budget 2025'!N152</f>
        <v>2050</v>
      </c>
      <c r="K148" s="32"/>
    </row>
    <row r="149" spans="1:11" x14ac:dyDescent="0.35">
      <c r="A149" s="5" t="s">
        <v>60</v>
      </c>
      <c r="B149" s="30">
        <f>IFERROR(SUMPRODUCT('Outlook 5+7'!$B149:$D149,'Outlook 5+7'!$B$148:$D$148)/SUM('Outlook 5+7'!$B$148:$D$148),0)</f>
        <v>3743.3844737159634</v>
      </c>
      <c r="C149" s="8">
        <f>IFERROR(SUMPRODUCT('Outlook 5+7'!$E149:$G149,'Outlook 5+7'!$E$148:$G$148)/SUM('Outlook 5+7'!$E$148:$G$148),0)</f>
        <v>3722.2885822321909</v>
      </c>
      <c r="D149" s="8">
        <f>IFERROR(SUMPRODUCT('Outlook 5+7'!$H149:$J149,'Outlook 5+7'!$H$148:$J$148)/SUM('Outlook 5+7'!$H$148:$J$148),0)</f>
        <v>3694.5424830541783</v>
      </c>
      <c r="E149" s="8">
        <f>IFERROR(SUMPRODUCT('Outlook 5+7'!$K149:$M149,'Outlook 5+7'!$K$148:$M$148)/SUM('Outlook 5+7'!$K$148:$M$148),0)</f>
        <v>3729.7943860492628</v>
      </c>
      <c r="F149" s="14">
        <f>SUMPRODUCT(B149:E149,$B$148:$E$148)/SUM($B$148:$E$148)</f>
        <v>3727.2085156891335</v>
      </c>
      <c r="G149" s="12"/>
      <c r="H149" s="8">
        <f>'Budget 2025'!N153</f>
        <v>3727.5040431597959</v>
      </c>
      <c r="K149" s="32"/>
    </row>
    <row r="150" spans="1:11" x14ac:dyDescent="0.35">
      <c r="A150" s="5" t="s">
        <v>22</v>
      </c>
      <c r="B150" s="31">
        <f>IFERROR(SUMPRODUCT('Outlook 5+7'!$B150:$D150,'Outlook 5+7'!$B$148:$D$148)/SUM('Outlook 5+7'!$B$148:$D$148),0)</f>
        <v>0.1678125873690437</v>
      </c>
      <c r="C150" s="7">
        <f>IFERROR(SUMPRODUCT('Outlook 5+7'!$E150:$G150,'Outlook 5+7'!$E$148:$G$148)/SUM('Outlook 5+7'!$E$148:$G$148),0)</f>
        <v>0.19205313561078285</v>
      </c>
      <c r="D150" s="7">
        <f>IFERROR(SUMPRODUCT('Outlook 5+7'!$H150:$J150,'Outlook 5+7'!$H$148:$J$148)/SUM('Outlook 5+7'!$H$148:$J$148),0)</f>
        <v>0.15654116322929301</v>
      </c>
      <c r="E150" s="7">
        <f>IFERROR(SUMPRODUCT('Outlook 5+7'!$K150:$M150,'Outlook 5+7'!$K$148:$M$148)/SUM('Outlook 5+7'!$K$148:$M$148),0)</f>
        <v>0.15473804425636656</v>
      </c>
      <c r="F150" s="15">
        <f>SUMPRODUCT(B150:E150,$B$148:$E$148)/SUM($B$148:$E$148)</f>
        <v>0.16923038998653955</v>
      </c>
      <c r="H150" s="7">
        <f>'Budget 2025'!N154</f>
        <v>0.15227341108882345</v>
      </c>
      <c r="K150" s="32"/>
    </row>
    <row r="151" spans="1:11" x14ac:dyDescent="0.35">
      <c r="A151" s="5" t="s">
        <v>23</v>
      </c>
      <c r="B151" s="31">
        <f>IFERROR(SUMPRODUCT('Outlook 5+7'!$B151:$D151,'Outlook 5+7'!$B$148:$D$148)/SUM('Outlook 5+7'!$B$148:$D$148),0)</f>
        <v>8.6931371766564531</v>
      </c>
      <c r="C151" s="7">
        <f>IFERROR(SUMPRODUCT('Outlook 5+7'!$E151:$G151,'Outlook 5+7'!$E$148:$G$148)/SUM('Outlook 5+7'!$E$148:$G$148),0)</f>
        <v>7.5920914429097195</v>
      </c>
      <c r="D151" s="7">
        <f>IFERROR(SUMPRODUCT('Outlook 5+7'!$H151:$J151,'Outlook 5+7'!$H$148:$J$148)/SUM('Outlook 5+7'!$H$148:$J$148),0)</f>
        <v>8.6418423013273173</v>
      </c>
      <c r="E151" s="7">
        <f>IFERROR(SUMPRODUCT('Outlook 5+7'!$K151:$M151,'Outlook 5+7'!$K$148:$M$148)/SUM('Outlook 5+7'!$K$148:$M$148),0)</f>
        <v>7.6931931699296916</v>
      </c>
      <c r="F151" s="15">
        <f>SUMPRODUCT(B151:E151,$B$148:$E$148)/SUM($B$148:$E$148)</f>
        <v>8.0938522846162169</v>
      </c>
      <c r="H151" s="7">
        <f>'Budget 2025'!N155</f>
        <v>7.9761081652071226</v>
      </c>
      <c r="K151" s="32"/>
    </row>
    <row r="152" spans="1:11" x14ac:dyDescent="0.35">
      <c r="A152" s="5" t="s">
        <v>38</v>
      </c>
      <c r="B152" s="31">
        <f>IFERROR(SUMPRODUCT('Outlook 5+7'!$B152:$D152,'Outlook 5+7'!$B$148:$D$148)/SUM('Outlook 5+7'!$B$148:$D$148),0)</f>
        <v>19.858821393427043</v>
      </c>
      <c r="C152" s="7">
        <f>IFERROR(SUMPRODUCT('Outlook 5+7'!$E152:$G152,'Outlook 5+7'!$E$148:$G$148)/SUM('Outlook 5+7'!$E$148:$G$148),0)</f>
        <v>19.787611316894822</v>
      </c>
      <c r="D152" s="7">
        <f>IFERROR(SUMPRODUCT('Outlook 5+7'!$H152:$J152,'Outlook 5+7'!$H$148:$J$148)/SUM('Outlook 5+7'!$H$148:$J$148),0)</f>
        <v>22.135526302581983</v>
      </c>
      <c r="E152" s="7">
        <f>IFERROR(SUMPRODUCT('Outlook 5+7'!$K152:$M152,'Outlook 5+7'!$K$148:$M$148)/SUM('Outlook 5+7'!$K$148:$M$148),0)</f>
        <v>22.684272050924129</v>
      </c>
      <c r="F152" s="15">
        <f>SUMPRODUCT(B152:E152,$B$148:$E$148)/SUM($B$148:$E$148)</f>
        <v>20.955764595632374</v>
      </c>
      <c r="H152" s="7">
        <f>'Budget 2025'!N156</f>
        <v>27.254555501550691</v>
      </c>
      <c r="K152" s="32"/>
    </row>
    <row r="153" spans="1:11" x14ac:dyDescent="0.35">
      <c r="A153" s="5" t="s">
        <v>25</v>
      </c>
      <c r="B153" s="31">
        <f>IFERROR(SUMPRODUCT('Outlook 5+7'!$B153:$D153,'Outlook 5+7'!$B$148:$D$148)/SUM('Outlook 5+7'!$B$148:$D$148),0)</f>
        <v>38.530811096233663</v>
      </c>
      <c r="C153" s="7">
        <f>IFERROR(SUMPRODUCT('Outlook 5+7'!$E153:$G153,'Outlook 5+7'!$E$148:$G$148)/SUM('Outlook 5+7'!$E$148:$G$148),0)</f>
        <v>39.081784853358855</v>
      </c>
      <c r="D153" s="7">
        <f>IFERROR(SUMPRODUCT('Outlook 5+7'!$H153:$J153,'Outlook 5+7'!$H$148:$J$148)/SUM('Outlook 5+7'!$H$148:$J$148),0)</f>
        <v>37.856683274212806</v>
      </c>
      <c r="E153" s="7">
        <f>IFERROR(SUMPRODUCT('Outlook 5+7'!$K153:$M153,'Outlook 5+7'!$K$148:$M$148)/SUM('Outlook 5+7'!$K$148:$M$148),0)</f>
        <v>38.145238953444569</v>
      </c>
      <c r="F153" s="15">
        <f>SUMPRODUCT(B153:E153,$B$148:$E$148)/SUM($B$148:$E$148)</f>
        <v>38.482440702595582</v>
      </c>
      <c r="H153" s="7">
        <f>'Budget 2025'!N157</f>
        <v>38.285233081479049</v>
      </c>
      <c r="K153" s="32"/>
    </row>
    <row r="154" spans="1:11" x14ac:dyDescent="0.35">
      <c r="K154" s="32"/>
    </row>
    <row r="155" spans="1:11" x14ac:dyDescent="0.35">
      <c r="A155" s="6" t="s">
        <v>51</v>
      </c>
      <c r="B155" s="6" t="s">
        <v>93</v>
      </c>
      <c r="C155" s="6" t="s">
        <v>94</v>
      </c>
      <c r="D155" s="6" t="s">
        <v>95</v>
      </c>
      <c r="E155" s="6" t="s">
        <v>96</v>
      </c>
      <c r="F155" s="6" t="s">
        <v>13</v>
      </c>
      <c r="H155" s="6" t="s">
        <v>84</v>
      </c>
      <c r="K155" s="32"/>
    </row>
    <row r="156" spans="1:11" x14ac:dyDescent="0.35">
      <c r="A156" s="9" t="s">
        <v>14</v>
      </c>
      <c r="B156" s="10">
        <f t="shared" ref="B156:F156" si="29">SUM(B157:B157)</f>
        <v>2112.1103002</v>
      </c>
      <c r="C156" s="10">
        <f t="shared" si="29"/>
        <v>2482.0623688066667</v>
      </c>
      <c r="D156" s="10">
        <f t="shared" si="29"/>
        <v>3252.0059763773002</v>
      </c>
      <c r="E156" s="10">
        <f t="shared" si="29"/>
        <v>2862.0080531460371</v>
      </c>
      <c r="F156" s="10">
        <f t="shared" si="29"/>
        <v>10708.186698530004</v>
      </c>
      <c r="H156" s="10">
        <f>'Budget 2025'!N160</f>
        <v>10708.18669853</v>
      </c>
      <c r="I156" s="27">
        <f>F156/H156</f>
        <v>1.0000000000000004</v>
      </c>
      <c r="K156" s="32"/>
    </row>
    <row r="157" spans="1:11" x14ac:dyDescent="0.35">
      <c r="A157" s="5" t="s">
        <v>55</v>
      </c>
      <c r="B157" s="30">
        <f>SUMIFS('Outlook 5+7'!$B157:$M157,'Outlook 5+7'!$B$185:$M$185,'Outlook Quarterly 5+7'!B$4)</f>
        <v>2112.1103002</v>
      </c>
      <c r="C157" s="8">
        <f>SUMIFS('Outlook 5+7'!$B157:$M157,'Outlook 5+7'!$B$185:$M$185,'Outlook Quarterly 5+7'!C$4)</f>
        <v>2482.0623688066667</v>
      </c>
      <c r="D157" s="8">
        <f>SUMIFS('Outlook 5+7'!$B157:$M157,'Outlook 5+7'!$B$185:$M$185,'Outlook Quarterly 5+7'!D$4)</f>
        <v>3252.0059763773002</v>
      </c>
      <c r="E157" s="8">
        <f>SUMIFS('Outlook 5+7'!$B157:$M157,'Outlook 5+7'!$B$185:$M$185,'Outlook Quarterly 5+7'!E$4)</f>
        <v>2862.0080531460371</v>
      </c>
      <c r="F157" s="8">
        <f>SUM(B157:E157)</f>
        <v>10708.186698530004</v>
      </c>
      <c r="H157" s="8">
        <f>'Budget 2025'!N161</f>
        <v>10708.18669853</v>
      </c>
      <c r="K157" s="32"/>
    </row>
    <row r="158" spans="1:11" x14ac:dyDescent="0.35">
      <c r="A158" s="9" t="s">
        <v>17</v>
      </c>
      <c r="B158" s="10">
        <f>SUM(B159:B160)</f>
        <v>118.320311</v>
      </c>
      <c r="C158" s="10">
        <f t="shared" ref="C158:F158" si="30">SUM(C159:C160)</f>
        <v>149.62061115709091</v>
      </c>
      <c r="D158" s="10">
        <f t="shared" si="30"/>
        <v>180</v>
      </c>
      <c r="E158" s="10">
        <f t="shared" si="30"/>
        <v>158.05907784290918</v>
      </c>
      <c r="F158" s="10">
        <f t="shared" si="30"/>
        <v>606.00000000000011</v>
      </c>
      <c r="H158" s="10">
        <f>'Budget 2025'!N162</f>
        <v>605.9998925264573</v>
      </c>
      <c r="I158" s="27">
        <f>F158/H158</f>
        <v>1.0000001773491121</v>
      </c>
      <c r="K158" s="32"/>
    </row>
    <row r="159" spans="1:11" x14ac:dyDescent="0.35">
      <c r="A159" s="5" t="s">
        <v>55</v>
      </c>
      <c r="B159" s="30">
        <f>SUMIFS('Outlook 5+7'!$B159:$M159,'Outlook 5+7'!$B$185:$M$185,'Outlook Quarterly 5+7'!B$4)</f>
        <v>94.517719999999997</v>
      </c>
      <c r="C159" s="8">
        <f>SUMIFS('Outlook 5+7'!$B159:$M159,'Outlook 5+7'!$B$185:$M$185,'Outlook Quarterly 5+7'!C$4)</f>
        <v>55.721789999999999</v>
      </c>
      <c r="D159" s="8">
        <f>SUMIFS('Outlook 5+7'!$B159:$M159,'Outlook 5+7'!$B$185:$M$185,'Outlook Quarterly 5+7'!D$4)</f>
        <v>125</v>
      </c>
      <c r="E159" s="8">
        <f>SUMIFS('Outlook 5+7'!$B159:$M159,'Outlook 5+7'!$B$185:$M$185,'Outlook Quarterly 5+7'!E$4)</f>
        <v>158.05907784290918</v>
      </c>
      <c r="F159" s="8">
        <f>SUM(B159:E159)</f>
        <v>433.29858784290917</v>
      </c>
      <c r="H159" s="8">
        <f>'Budget 2025'!N163</f>
        <v>605.9998925264573</v>
      </c>
      <c r="K159" s="32"/>
    </row>
    <row r="160" spans="1:11" x14ac:dyDescent="0.35">
      <c r="A160" s="5" t="s">
        <v>92</v>
      </c>
      <c r="B160" s="30">
        <f>SUMIFS('Outlook 5+7'!$B160:$M160,'Outlook 5+7'!$B$185:$M$185,'Outlook Quarterly 5+7'!B$4)</f>
        <v>23.802591</v>
      </c>
      <c r="C160" s="8">
        <f>SUMIFS('Outlook 5+7'!$B160:$M160,'Outlook 5+7'!$B$185:$M$185,'Outlook Quarterly 5+7'!C$4)</f>
        <v>93.898821157090907</v>
      </c>
      <c r="D160" s="8">
        <f>SUMIFS('Outlook 5+7'!$B160:$M160,'Outlook 5+7'!$B$185:$M$185,'Outlook Quarterly 5+7'!D$4)</f>
        <v>55</v>
      </c>
      <c r="E160" s="8">
        <f>SUMIFS('Outlook 5+7'!$B160:$M160,'Outlook 5+7'!$B$185:$M$185,'Outlook Quarterly 5+7'!E$4)</f>
        <v>0</v>
      </c>
      <c r="F160" s="8">
        <f>SUM(B160:E160)</f>
        <v>172.70141215709091</v>
      </c>
      <c r="H160" s="8"/>
      <c r="K160" s="32"/>
    </row>
    <row r="161" spans="1:11" x14ac:dyDescent="0.35">
      <c r="A161" s="9" t="s">
        <v>43</v>
      </c>
      <c r="B161" s="11">
        <f>IFERROR(B156/B158,0)</f>
        <v>17.850783879362858</v>
      </c>
      <c r="C161" s="11">
        <f t="shared" ref="C161:E161" si="31">IFERROR(C156/C158,0)</f>
        <v>16.589040437755457</v>
      </c>
      <c r="D161" s="11">
        <f t="shared" si="31"/>
        <v>18.066699868762779</v>
      </c>
      <c r="E161" s="11">
        <f t="shared" si="31"/>
        <v>18.107204547849587</v>
      </c>
      <c r="F161" s="11">
        <f t="shared" ref="F161" si="32">F156/F158</f>
        <v>17.670275080082511</v>
      </c>
      <c r="H161" s="11">
        <f>'Budget 2025'!N164</f>
        <v>17.6702782138901</v>
      </c>
      <c r="K161" s="32"/>
    </row>
    <row r="162" spans="1:11" x14ac:dyDescent="0.35">
      <c r="A162" s="9" t="s">
        <v>34</v>
      </c>
      <c r="B162" s="11">
        <f>IFERROR(B156/B163,0)</f>
        <v>54.065041050936735</v>
      </c>
      <c r="C162" s="11">
        <f t="shared" ref="C162:E162" si="33">IFERROR(C156/C163,0)</f>
        <v>20.923313421055056</v>
      </c>
      <c r="D162" s="11">
        <f t="shared" si="33"/>
        <v>23.919128201980325</v>
      </c>
      <c r="E162" s="11">
        <f t="shared" si="33"/>
        <v>9.6250844304093217</v>
      </c>
      <c r="F162" s="11">
        <f t="shared" ref="F162" si="34">F156/F163</f>
        <v>18.11875921917089</v>
      </c>
      <c r="H162" s="11">
        <f>'Budget 2025'!N165</f>
        <v>18.118759219170897</v>
      </c>
      <c r="K162" s="32"/>
    </row>
    <row r="163" spans="1:11" x14ac:dyDescent="0.35">
      <c r="A163" s="9" t="s">
        <v>47</v>
      </c>
      <c r="B163" s="10">
        <f>SUMIFS('Outlook 5+7'!$B163:$M163,'Outlook 5+7'!$B$185:$M$185,'Outlook Quarterly 5+7'!B$4)</f>
        <v>39.066100000000006</v>
      </c>
      <c r="C163" s="10">
        <f>SUMIFS('Outlook 5+7'!$B163:$M163,'Outlook 5+7'!$B$185:$M$185,'Outlook Quarterly 5+7'!C$4)</f>
        <v>118.62664000000001</v>
      </c>
      <c r="D163" s="10">
        <f>SUMIFS('Outlook 5+7'!$B163:$M163,'Outlook 5+7'!$B$185:$M$185,'Outlook Quarterly 5+7'!D$4)</f>
        <v>135.95838230040752</v>
      </c>
      <c r="E163" s="10">
        <f>SUMIFS('Outlook 5+7'!$B163:$M163,'Outlook 5+7'!$B$185:$M$185,'Outlook Quarterly 5+7'!E$4)</f>
        <v>297.34887769959289</v>
      </c>
      <c r="F163" s="10">
        <f>SUM(B163:E163)</f>
        <v>591.00000000000045</v>
      </c>
      <c r="H163" s="10">
        <f>'Budget 2025'!N166</f>
        <v>591</v>
      </c>
      <c r="K163" s="32"/>
    </row>
    <row r="164" spans="1:11" x14ac:dyDescent="0.35">
      <c r="A164" s="9" t="s">
        <v>73</v>
      </c>
      <c r="B164" s="10">
        <f>SUMIFS('Outlook 5+7'!$B164:$M164,'Outlook 5+7'!$B$185:$M$185,'Outlook Quarterly 5+7'!B$4)</f>
        <v>39.066100000000006</v>
      </c>
      <c r="C164" s="10">
        <f>SUMIFS('Outlook 5+7'!$B164:$M164,'Outlook 5+7'!$B$185:$M$185,'Outlook Quarterly 5+7'!C$4)</f>
        <v>118.62664000000001</v>
      </c>
      <c r="D164" s="10">
        <f>SUMIFS('Outlook 5+7'!$B164:$M164,'Outlook 5+7'!$B$185:$M$185,'Outlook Quarterly 5+7'!D$4)</f>
        <v>135.95838230040752</v>
      </c>
      <c r="E164" s="10">
        <f>SUMIFS('Outlook 5+7'!$B164:$M164,'Outlook 5+7'!$B$185:$M$185,'Outlook Quarterly 5+7'!E$4)</f>
        <v>297.34887769959289</v>
      </c>
      <c r="F164" s="10">
        <f>SUM(B164:E164)</f>
        <v>591.00000000000045</v>
      </c>
      <c r="H164" s="10">
        <f>'Budget 2025'!N166</f>
        <v>591</v>
      </c>
      <c r="K164" s="32"/>
    </row>
    <row r="165" spans="1:11" x14ac:dyDescent="0.35">
      <c r="A165" s="5" t="s">
        <v>60</v>
      </c>
      <c r="B165" s="30">
        <f>IFERROR(SUMPRODUCT('Outlook 5+7'!$B165:$D165,'Outlook 5+7'!$B$164:$D$164)/SUM('Outlook 5+7'!$B$164:$D$164),0)</f>
        <v>6758.0515620341466</v>
      </c>
      <c r="C165" s="8">
        <f>IFERROR(SUMPRODUCT('Outlook 5+7'!$E165:$G165,'Outlook 5+7'!$E$164:$G$164)/SUM('Outlook 5+7'!$E$164:$G$164),0)</f>
        <v>6888.6213454874396</v>
      </c>
      <c r="D165" s="8">
        <f>IFERROR(SUMPRODUCT('Outlook 5+7'!$H165:$J165,'Outlook 5+7'!$H$164:$J$164)/SUM('Outlook 5+7'!$H$164:$J$164),0)</f>
        <v>7111.6059227302858</v>
      </c>
      <c r="E165" s="8">
        <f>IFERROR(SUMPRODUCT('Outlook 5+7'!$K165:$M165,'Outlook 5+7'!$K$164:$M$164)/SUM('Outlook 5+7'!$K$164:$M$164),0)</f>
        <v>7098.7364773563368</v>
      </c>
      <c r="F165" s="14">
        <f>SUMPRODUCT(B165:E165,$B$163:$E$163)/SUM($B$163:$E$163)</f>
        <v>7037.0025110228562</v>
      </c>
      <c r="H165" s="8">
        <f>'Budget 2025'!N167</f>
        <v>6914.924833624611</v>
      </c>
      <c r="K165" s="32"/>
    </row>
    <row r="166" spans="1:11" x14ac:dyDescent="0.35">
      <c r="A166" s="5" t="s">
        <v>22</v>
      </c>
      <c r="B166" s="31">
        <f>IFERROR(SUMPRODUCT('Outlook 5+7'!$B166:$D166,'Outlook 5+7'!$B$164:$D$164)/SUM('Outlook 5+7'!$B$164:$D$164),0)</f>
        <v>1.2621939470157846</v>
      </c>
      <c r="C166" s="7">
        <f>IFERROR(SUMPRODUCT('Outlook 5+7'!$E166:$G166,'Outlook 5+7'!$E$164:$G$164)/SUM('Outlook 5+7'!$E$164:$G$164),0)</f>
        <v>1.1891127699077748</v>
      </c>
      <c r="D166" s="7">
        <f>IFERROR(SUMPRODUCT('Outlook 5+7'!$H166:$J166,'Outlook 5+7'!$H$164:$J$164)/SUM('Outlook 5+7'!$H$164:$J$164),0)</f>
        <v>1.2320586044368533</v>
      </c>
      <c r="E166" s="7">
        <f>IFERROR(SUMPRODUCT('Outlook 5+7'!$K166:$M166,'Outlook 5+7'!$K$164:$M$164)/SUM('Outlook 5+7'!$K$164:$M$164),0)</f>
        <v>1.1753531296800324</v>
      </c>
      <c r="F166" s="15">
        <f>SUMPRODUCT(B166:E166,$B$163:$E$163)/SUM($B$163:$E$163)</f>
        <v>1.1969002981359715</v>
      </c>
      <c r="H166" s="7">
        <f>'Budget 2025'!N168</f>
        <v>0.97967782668745695</v>
      </c>
      <c r="K166" s="32"/>
    </row>
    <row r="167" spans="1:11" x14ac:dyDescent="0.35">
      <c r="A167" s="5" t="s">
        <v>23</v>
      </c>
      <c r="B167" s="31">
        <f>IFERROR(SUMPRODUCT('Outlook 5+7'!$B167:$D167,'Outlook 5+7'!$B$164:$D$164)/SUM('Outlook 5+7'!$B$164:$D$164),0)</f>
        <v>3.6776334393490697</v>
      </c>
      <c r="C167" s="7">
        <f>IFERROR(SUMPRODUCT('Outlook 5+7'!$E167:$G167,'Outlook 5+7'!$E$164:$G$164)/SUM('Outlook 5+7'!$E$164:$G$164),0)</f>
        <v>2.6853612142439744</v>
      </c>
      <c r="D167" s="7">
        <f>IFERROR(SUMPRODUCT('Outlook 5+7'!$H167:$J167,'Outlook 5+7'!$H$164:$J$164)/SUM('Outlook 5+7'!$H$164:$J$164),0)</f>
        <v>3.4413845319951428</v>
      </c>
      <c r="E167" s="7">
        <f>IFERROR(SUMPRODUCT('Outlook 5+7'!$K167:$M167,'Outlook 5+7'!$K$164:$M$164)/SUM('Outlook 5+7'!$K$164:$M$164),0)</f>
        <v>3.2806767667739618</v>
      </c>
      <c r="F167" s="15">
        <f>SUMPRODUCT(B167:E167,$B$163:$E$163)/SUM($B$163:$E$163)</f>
        <v>3.2243939124807235</v>
      </c>
      <c r="H167" s="7">
        <f>'Budget 2025'!N169</f>
        <v>3.7673803156838583</v>
      </c>
      <c r="K167" s="32"/>
    </row>
    <row r="168" spans="1:11" x14ac:dyDescent="0.35">
      <c r="A168" s="5" t="s">
        <v>38</v>
      </c>
      <c r="B168" s="31">
        <f>IFERROR(SUMPRODUCT('Outlook 5+7'!$B168:$D168,'Outlook 5+7'!$B$164:$D$164)/SUM('Outlook 5+7'!$B$164:$D$164),0)</f>
        <v>6.3311737637907246</v>
      </c>
      <c r="C168" s="7">
        <f>IFERROR(SUMPRODUCT('Outlook 5+7'!$E168:$G168,'Outlook 5+7'!$E$164:$G$164)/SUM('Outlook 5+7'!$E$164:$G$164),0)</f>
        <v>5.7489155059645025</v>
      </c>
      <c r="D168" s="7">
        <f>IFERROR(SUMPRODUCT('Outlook 5+7'!$H168:$J168,'Outlook 5+7'!$H$164:$J$164)/SUM('Outlook 5+7'!$H$164:$J$164),0)</f>
        <v>4.9600315131729342</v>
      </c>
      <c r="E168" s="7">
        <f>IFERROR(SUMPRODUCT('Outlook 5+7'!$K168:$M168,'Outlook 5+7'!$K$164:$M$164)/SUM('Outlook 5+7'!$K$164:$M$164),0)</f>
        <v>4.8640401587525259</v>
      </c>
      <c r="F168" s="15">
        <f>SUMPRODUCT(B168:E168,$B$163:$E$163)/SUM($B$163:$E$163)</f>
        <v>5.1607166505430451</v>
      </c>
      <c r="H168" s="7">
        <f>'Budget 2025'!N170</f>
        <v>8.6903071606236697</v>
      </c>
      <c r="K168" s="32"/>
    </row>
    <row r="169" spans="1:11" x14ac:dyDescent="0.35">
      <c r="A169" s="5" t="s">
        <v>25</v>
      </c>
      <c r="B169" s="31">
        <f>IFERROR(SUMPRODUCT('Outlook 5+7'!$B169:$D169,'Outlook 5+7'!$B$164:$D$164)/SUM('Outlook 5+7'!$B$164:$D$164),0)</f>
        <v>10.996015819507235</v>
      </c>
      <c r="C169" s="7">
        <f>IFERROR(SUMPRODUCT('Outlook 5+7'!$E169:$G169,'Outlook 5+7'!$E$164:$G$164)/SUM('Outlook 5+7'!$E$164:$G$164),0)</f>
        <v>11.511052046771109</v>
      </c>
      <c r="D169" s="7">
        <f>IFERROR(SUMPRODUCT('Outlook 5+7'!$H169:$J169,'Outlook 5+7'!$H$164:$J$164)/SUM('Outlook 5+7'!$H$164:$J$164),0)</f>
        <v>7.8183069249365484</v>
      </c>
      <c r="E169" s="7">
        <f>IFERROR(SUMPRODUCT('Outlook 5+7'!$K169:$M169,'Outlook 5+7'!$K$164:$M$164)/SUM('Outlook 5+7'!$K$164:$M$164),0)</f>
        <v>7.8447384766253228</v>
      </c>
      <c r="F169" s="15">
        <f>SUMPRODUCT(B169:E169,$B$163:$E$163)/SUM($B$163:$E$163)</f>
        <v>8.7828721226629902</v>
      </c>
      <c r="H169" s="7">
        <f>'Budget 2025'!N171</f>
        <v>4.734175124469358</v>
      </c>
      <c r="K169" s="32"/>
    </row>
    <row r="170" spans="1:11" x14ac:dyDescent="0.35">
      <c r="K170" s="32"/>
    </row>
    <row r="171" spans="1:11" x14ac:dyDescent="0.35">
      <c r="A171" s="6" t="s">
        <v>86</v>
      </c>
      <c r="B171" s="6" t="s">
        <v>93</v>
      </c>
      <c r="C171" s="6" t="s">
        <v>94</v>
      </c>
      <c r="D171" s="6" t="s">
        <v>95</v>
      </c>
      <c r="E171" s="6" t="s">
        <v>96</v>
      </c>
      <c r="F171" s="6" t="s">
        <v>13</v>
      </c>
      <c r="G171" s="4"/>
      <c r="H171" s="6" t="s">
        <v>84</v>
      </c>
      <c r="K171" s="32"/>
    </row>
    <row r="172" spans="1:11" x14ac:dyDescent="0.35">
      <c r="A172" s="9" t="s">
        <v>14</v>
      </c>
      <c r="B172" s="10">
        <f>B173</f>
        <v>0</v>
      </c>
      <c r="C172" s="10">
        <f t="shared" ref="C172:E172" si="35">C173</f>
        <v>424.21199999999999</v>
      </c>
      <c r="D172" s="10">
        <f t="shared" si="35"/>
        <v>1732</v>
      </c>
      <c r="E172" s="10">
        <f t="shared" si="35"/>
        <v>1943.788</v>
      </c>
      <c r="F172" s="10">
        <f>SUM(B172:E172)</f>
        <v>4100</v>
      </c>
      <c r="G172" s="2"/>
      <c r="H172" s="10">
        <f>'Budget 2025'!N174</f>
        <v>5683.5</v>
      </c>
      <c r="K172" s="32"/>
    </row>
    <row r="173" spans="1:11" x14ac:dyDescent="0.35">
      <c r="A173" s="5" t="s">
        <v>57</v>
      </c>
      <c r="B173" s="30">
        <f>SUMIFS('Outlook 5+7'!$B173:$M173,'Outlook 5+7'!$B$185:$M$185,'Outlook Quarterly 5+7'!B$4)</f>
        <v>0</v>
      </c>
      <c r="C173" s="8">
        <f>SUMIFS('Outlook 5+7'!$B173:$M173,'Outlook 5+7'!$B$185:$M$185,'Outlook Quarterly 5+7'!C$4)</f>
        <v>424.21199999999999</v>
      </c>
      <c r="D173" s="8">
        <f>SUMIFS('Outlook 5+7'!$B173:$M173,'Outlook 5+7'!$B$185:$M$185,'Outlook Quarterly 5+7'!D$4)</f>
        <v>1732</v>
      </c>
      <c r="E173" s="8">
        <f>SUMIFS('Outlook 5+7'!$B173:$M173,'Outlook 5+7'!$B$185:$M$185,'Outlook Quarterly 5+7'!E$4)</f>
        <v>1943.788</v>
      </c>
      <c r="F173" s="8">
        <f>SUM(B173:E173)</f>
        <v>4100</v>
      </c>
      <c r="H173" s="8">
        <f>'Budget 2025'!N175</f>
        <v>5683.5</v>
      </c>
      <c r="K173" s="32"/>
    </row>
    <row r="174" spans="1:11" x14ac:dyDescent="0.35">
      <c r="A174" s="9" t="s">
        <v>17</v>
      </c>
      <c r="B174" s="10">
        <f t="shared" ref="B174:F174" si="36">SUM(B175:B175)</f>
        <v>0</v>
      </c>
      <c r="C174" s="10">
        <f t="shared" si="36"/>
        <v>0</v>
      </c>
      <c r="D174" s="10">
        <f t="shared" si="36"/>
        <v>100</v>
      </c>
      <c r="E174" s="10">
        <f t="shared" si="36"/>
        <v>150</v>
      </c>
      <c r="F174" s="10">
        <f t="shared" si="36"/>
        <v>250</v>
      </c>
      <c r="G174" s="2"/>
      <c r="H174" s="10">
        <f>'Budget 2025'!N176</f>
        <v>450</v>
      </c>
      <c r="K174" s="32"/>
    </row>
    <row r="175" spans="1:11" x14ac:dyDescent="0.35">
      <c r="A175" s="5" t="s">
        <v>57</v>
      </c>
      <c r="B175" s="30">
        <f>SUMIFS('Outlook 5+7'!$B175:$M175,'Outlook 5+7'!$B$185:$M$185,'Outlook Quarterly 5+7'!B$4)</f>
        <v>0</v>
      </c>
      <c r="C175" s="8">
        <f>SUMIFS('Outlook 5+7'!$B175:$M175,'Outlook 5+7'!$B$185:$M$185,'Outlook Quarterly 5+7'!C$4)</f>
        <v>0</v>
      </c>
      <c r="D175" s="8">
        <f>SUMIFS('Outlook 5+7'!$B175:$M175,'Outlook 5+7'!$B$185:$M$185,'Outlook Quarterly 5+7'!D$4)</f>
        <v>100</v>
      </c>
      <c r="E175" s="8">
        <f>SUMIFS('Outlook 5+7'!$B175:$M175,'Outlook 5+7'!$B$185:$M$185,'Outlook Quarterly 5+7'!E$4)</f>
        <v>150</v>
      </c>
      <c r="F175" s="8">
        <f>SUM(B175:E175)</f>
        <v>250</v>
      </c>
      <c r="H175" s="8">
        <f>'Budget 2025'!N177</f>
        <v>450</v>
      </c>
      <c r="K175" s="32"/>
    </row>
    <row r="176" spans="1:11" x14ac:dyDescent="0.35">
      <c r="A176" s="9" t="s">
        <v>43</v>
      </c>
      <c r="B176" s="11">
        <f>IFERROR(B172/B174,0)</f>
        <v>0</v>
      </c>
      <c r="C176" s="11">
        <f t="shared" ref="C176:E176" si="37">IFERROR(C172/C174,0)</f>
        <v>0</v>
      </c>
      <c r="D176" s="11">
        <f t="shared" si="37"/>
        <v>17.32</v>
      </c>
      <c r="E176" s="11">
        <f t="shared" si="37"/>
        <v>12.958586666666667</v>
      </c>
      <c r="F176" s="11">
        <f>F172/F174</f>
        <v>16.399999999999999</v>
      </c>
      <c r="G176" s="2"/>
      <c r="H176" s="11">
        <f>'Budget 2025'!N178</f>
        <v>12.63</v>
      </c>
      <c r="K176" s="32"/>
    </row>
    <row r="177" spans="1:11" x14ac:dyDescent="0.35">
      <c r="A177" s="9" t="s">
        <v>34</v>
      </c>
      <c r="B177" s="11">
        <f>IFERROR(B172/B178,0)</f>
        <v>0</v>
      </c>
      <c r="C177" s="11">
        <f t="shared" ref="C177:E177" si="38">IFERROR(C172/C178,0)</f>
        <v>0</v>
      </c>
      <c r="D177" s="11">
        <f t="shared" si="38"/>
        <v>0</v>
      </c>
      <c r="E177" s="11">
        <f t="shared" si="38"/>
        <v>12.958586666666667</v>
      </c>
      <c r="F177" s="11">
        <f>F172/F178</f>
        <v>27.333333333333332</v>
      </c>
      <c r="G177" s="2"/>
      <c r="H177" s="11">
        <f>'Budget 2025'!N179</f>
        <v>18.945</v>
      </c>
      <c r="K177" s="32"/>
    </row>
    <row r="178" spans="1:11" x14ac:dyDescent="0.35">
      <c r="A178" s="9" t="s">
        <v>47</v>
      </c>
      <c r="B178" s="10">
        <f>SUMIFS('Outlook 5+7'!$B178:$M178,'Outlook 5+7'!$B$185:$M$185,'Outlook Quarterly 5+7'!B$4)</f>
        <v>0</v>
      </c>
      <c r="C178" s="10">
        <f>SUMIFS('Outlook 5+7'!$B178:$M178,'Outlook 5+7'!$B$185:$M$185,'Outlook Quarterly 5+7'!C$4)</f>
        <v>0</v>
      </c>
      <c r="D178" s="10">
        <f>SUMIFS('Outlook 5+7'!$B178:$M178,'Outlook 5+7'!$B$185:$M$185,'Outlook Quarterly 5+7'!D$4)</f>
        <v>0</v>
      </c>
      <c r="E178" s="10">
        <f>SUMIFS('Outlook 5+7'!$B178:$M178,'Outlook 5+7'!$B$185:$M$185,'Outlook Quarterly 5+7'!E$4)</f>
        <v>150</v>
      </c>
      <c r="F178" s="10">
        <f>SUM(B178:E178)</f>
        <v>150</v>
      </c>
      <c r="G178" s="2"/>
      <c r="H178" s="10">
        <f>'Budget 2025'!N180</f>
        <v>300</v>
      </c>
      <c r="K178" s="32"/>
    </row>
    <row r="179" spans="1:11" x14ac:dyDescent="0.35">
      <c r="A179" s="5" t="s">
        <v>60</v>
      </c>
      <c r="B179" s="30">
        <f>IFERROR(SUMPRODUCT('Outlook 5+7'!$B179:$D179,'Outlook 5+7'!$B$178:$D$178)/SUM('Outlook 5+7'!$B$178:$D$178),0)</f>
        <v>0</v>
      </c>
      <c r="C179" s="8">
        <f>IFERROR(SUMPRODUCT('Outlook 5+7'!$E179:$G179,'Outlook 5+7'!$E$178:$G$178)/SUM('Outlook 5+7'!$E$178:$G$178),0)</f>
        <v>0</v>
      </c>
      <c r="D179" s="8">
        <f>IFERROR(SUMPRODUCT('Outlook 5+7'!$H179:$J179,'Outlook 5+7'!$H$178:$J$178)/SUM('Outlook 5+7'!$H$178:$J$178),0)</f>
        <v>0</v>
      </c>
      <c r="E179" s="8">
        <f>IFERROR(SUMPRODUCT('Outlook 5+7'!$K179:$M179,'Outlook 5+7'!$K$178:$M$178)/SUM('Outlook 5+7'!$K$178:$M$178),0)</f>
        <v>6127.4785890554658</v>
      </c>
      <c r="F179" s="14">
        <f>SUMPRODUCT(B179:E179,$B$178:$E$178)/SUM($B$178:$E$178)</f>
        <v>6127.4785890554658</v>
      </c>
      <c r="G179" s="12"/>
      <c r="H179" s="8">
        <f>'Budget 2025'!N181</f>
        <v>5016.4002721866818</v>
      </c>
      <c r="K179" s="32"/>
    </row>
    <row r="180" spans="1:11" x14ac:dyDescent="0.35">
      <c r="A180" s="5" t="s">
        <v>22</v>
      </c>
      <c r="B180" s="31">
        <f>IFERROR(SUMPRODUCT('Outlook 5+7'!$B180:$D180,'Outlook 5+7'!$B$178:$D$178)/SUM('Outlook 5+7'!$B$178:$D$178),0)</f>
        <v>0</v>
      </c>
      <c r="C180" s="7">
        <f>IFERROR(SUMPRODUCT('Outlook 5+7'!$E180:$G180,'Outlook 5+7'!$E$178:$G$178)/SUM('Outlook 5+7'!$E$178:$G$178),0)</f>
        <v>0</v>
      </c>
      <c r="D180" s="7">
        <f>IFERROR(SUMPRODUCT('Outlook 5+7'!$H180:$J180,'Outlook 5+7'!$H$178:$J$178)/SUM('Outlook 5+7'!$H$178:$J$178),0)</f>
        <v>0</v>
      </c>
      <c r="E180" s="7">
        <f>IFERROR(SUMPRODUCT('Outlook 5+7'!$K180:$M180,'Outlook 5+7'!$K$178:$M$178)/SUM('Outlook 5+7'!$K$178:$M$178),0)</f>
        <v>1.1986143414114083</v>
      </c>
      <c r="F180" s="15">
        <f>SUMPRODUCT(B180:E180,$B$178:$E$178)/SUM($B$178:$E$178)</f>
        <v>1.1986143414114083</v>
      </c>
      <c r="H180" s="7">
        <f>'Budget 2025'!N182</f>
        <v>0.85231442995617068</v>
      </c>
      <c r="K180" s="32"/>
    </row>
    <row r="181" spans="1:11" x14ac:dyDescent="0.35">
      <c r="A181" s="5" t="s">
        <v>23</v>
      </c>
      <c r="B181" s="31">
        <f>IFERROR(SUMPRODUCT('Outlook 5+7'!$B181:$D181,'Outlook 5+7'!$B$178:$D$178)/SUM('Outlook 5+7'!$B$178:$D$178),0)</f>
        <v>0</v>
      </c>
      <c r="C181" s="7">
        <f>IFERROR(SUMPRODUCT('Outlook 5+7'!$E181:$G181,'Outlook 5+7'!$E$178:$G$178)/SUM('Outlook 5+7'!$E$178:$G$178),0)</f>
        <v>0</v>
      </c>
      <c r="D181" s="7">
        <f>IFERROR(SUMPRODUCT('Outlook 5+7'!$H181:$J181,'Outlook 5+7'!$H$178:$J$178)/SUM('Outlook 5+7'!$H$178:$J$178),0)</f>
        <v>0</v>
      </c>
      <c r="E181" s="7">
        <f>IFERROR(SUMPRODUCT('Outlook 5+7'!$K181:$M181,'Outlook 5+7'!$K$178:$M$178)/SUM('Outlook 5+7'!$K$178:$M$178),0)</f>
        <v>6.2221988963756063</v>
      </c>
      <c r="F181" s="15">
        <f>SUMPRODUCT(B181:E181,$B$178:$E$178)/SUM($B$178:$E$178)</f>
        <v>6.2221988963756063</v>
      </c>
      <c r="H181" s="7">
        <f>'Budget 2025'!N183</f>
        <v>4.6059680600780979</v>
      </c>
      <c r="K181" s="32"/>
    </row>
    <row r="182" spans="1:11" x14ac:dyDescent="0.35">
      <c r="A182" s="5" t="s">
        <v>38</v>
      </c>
      <c r="B182" s="31">
        <f>IFERROR(SUMPRODUCT('Outlook 5+7'!$B182:$D182,'Outlook 5+7'!$B$178:$D$178)/SUM('Outlook 5+7'!$B$178:$D$178),0)</f>
        <v>0</v>
      </c>
      <c r="C182" s="7">
        <f>IFERROR(SUMPRODUCT('Outlook 5+7'!$E182:$G182,'Outlook 5+7'!$E$178:$G$178)/SUM('Outlook 5+7'!$E$178:$G$178),0)</f>
        <v>0</v>
      </c>
      <c r="D182" s="7">
        <f>IFERROR(SUMPRODUCT('Outlook 5+7'!$H182:$J182,'Outlook 5+7'!$H$178:$J$178)/SUM('Outlook 5+7'!$H$178:$J$178),0)</f>
        <v>0</v>
      </c>
      <c r="E182" s="7">
        <f>IFERROR(SUMPRODUCT('Outlook 5+7'!$K182:$M182,'Outlook 5+7'!$K$178:$M$178)/SUM('Outlook 5+7'!$K$178:$M$178),0)</f>
        <v>12.307811716094973</v>
      </c>
      <c r="F182" s="15">
        <f>SUMPRODUCT(B182:E182,$B$178:$E$178)/SUM($B$178:$E$178)</f>
        <v>12.307811716094973</v>
      </c>
      <c r="H182" s="7">
        <f>'Budget 2025'!N184</f>
        <v>5.8143085963157821</v>
      </c>
      <c r="K182" s="32"/>
    </row>
    <row r="183" spans="1:11" x14ac:dyDescent="0.35">
      <c r="A183" s="5" t="s">
        <v>25</v>
      </c>
      <c r="B183" s="31">
        <f>IFERROR(SUMPRODUCT('Outlook 5+7'!$B183:$D183,'Outlook 5+7'!$B$178:$D$178)/SUM('Outlook 5+7'!$B$178:$D$178),0)</f>
        <v>0</v>
      </c>
      <c r="C183" s="7">
        <f>IFERROR(SUMPRODUCT('Outlook 5+7'!$E183:$G183,'Outlook 5+7'!$E$178:$G$178)/SUM('Outlook 5+7'!$E$178:$G$178),0)</f>
        <v>0</v>
      </c>
      <c r="D183" s="7">
        <f>IFERROR(SUMPRODUCT('Outlook 5+7'!$H183:$J183,'Outlook 5+7'!$H$178:$J$178)/SUM('Outlook 5+7'!$H$178:$J$178),0)</f>
        <v>0</v>
      </c>
      <c r="E183" s="7">
        <f>IFERROR(SUMPRODUCT('Outlook 5+7'!$K183:$M183,'Outlook 5+7'!$K$178:$M$178)/SUM('Outlook 5+7'!$K$178:$M$178),0)</f>
        <v>17.105380204008796</v>
      </c>
      <c r="F183" s="15">
        <f>SUMPRODUCT(B183:E183,$B$178:$E$178)/SUM($B$178:$E$178)</f>
        <v>17.105380204008796</v>
      </c>
      <c r="H183" s="7">
        <f>'Budget 2025'!N185</f>
        <v>11.20202059508415</v>
      </c>
      <c r="K183" s="3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3" t="s">
        <v>75</v>
      </c>
      <c r="C2" s="33" t="s">
        <v>76</v>
      </c>
      <c r="D2" s="33"/>
      <c r="E2" s="33" t="s">
        <v>79</v>
      </c>
      <c r="F2" s="33"/>
      <c r="G2" s="33" t="s">
        <v>82</v>
      </c>
      <c r="H2" s="33"/>
      <c r="I2" s="33" t="s">
        <v>83</v>
      </c>
      <c r="J2" s="33"/>
      <c r="K2" s="34" t="s">
        <v>80</v>
      </c>
      <c r="L2" s="34"/>
    </row>
    <row r="3" spans="2:12" x14ac:dyDescent="0.35">
      <c r="B3" s="33"/>
      <c r="C3" s="22" t="s">
        <v>77</v>
      </c>
      <c r="D3" s="22" t="s">
        <v>78</v>
      </c>
      <c r="E3" s="22" t="s">
        <v>77</v>
      </c>
      <c r="F3" s="22" t="s">
        <v>78</v>
      </c>
      <c r="G3" s="22" t="s">
        <v>77</v>
      </c>
      <c r="H3" s="22" t="s">
        <v>78</v>
      </c>
      <c r="I3" s="22" t="s">
        <v>77</v>
      </c>
      <c r="J3" s="22" t="s">
        <v>78</v>
      </c>
      <c r="K3" s="22" t="s">
        <v>76</v>
      </c>
      <c r="L3" s="22" t="s">
        <v>79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5+7'!B5:G5)</f>
        <v>42739.576671338225</v>
      </c>
      <c r="E4" s="19">
        <f>SUM('Budget 2025'!B8:G8)</f>
        <v>3220.0000000692289</v>
      </c>
      <c r="F4" s="19">
        <f>SUM('Outlook 5+7'!B8:G8)</f>
        <v>3248.5516820489001</v>
      </c>
      <c r="G4" s="19">
        <f>SUM('Budget 2025'!B13:G13)</f>
        <v>3275.5000000692298</v>
      </c>
      <c r="H4" s="19">
        <f>SUM('Outlook 5+7'!B13:G13)</f>
        <v>3346.4135535337377</v>
      </c>
      <c r="I4" s="20">
        <f>C4/E4</f>
        <v>14.086969919260518</v>
      </c>
      <c r="J4" s="20">
        <f>D4/F4</f>
        <v>13.156501990567644</v>
      </c>
      <c r="K4" s="21">
        <f>D4/C4</f>
        <v>0.9422296301282036</v>
      </c>
      <c r="L4" s="21">
        <f>F4/E4</f>
        <v>1.0088669819810738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5+7'!B56:G56)</f>
        <v>21119.949483290249</v>
      </c>
      <c r="E5" s="19">
        <f>SUM('Budget 2025'!B60:G60)</f>
        <v>1487</v>
      </c>
      <c r="F5" s="19">
        <f>SUM('Outlook 5+7'!B60:G60)</f>
        <v>1379.7147070455808</v>
      </c>
      <c r="G5" s="19">
        <f>SUM('Budget 2025'!B65:G65)</f>
        <v>1562</v>
      </c>
      <c r="H5" s="19">
        <f>SUM('Outlook 5+7'!B66:G66)</f>
        <v>1471.5345500000001</v>
      </c>
      <c r="I5" s="20">
        <f t="shared" ref="I5:J9" si="0">C5/E5</f>
        <v>17.182246133154003</v>
      </c>
      <c r="J5" s="20">
        <f t="shared" si="0"/>
        <v>15.307475795858515</v>
      </c>
      <c r="K5" s="21">
        <f t="shared" ref="K5:K9" si="1">D5/C5</f>
        <v>0.82661250423836596</v>
      </c>
      <c r="L5" s="21">
        <f t="shared" ref="L5:L9" si="2">F5/E5</f>
        <v>0.92785118160429103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5+7'!B100:G100)</f>
        <v>43274.207987350004</v>
      </c>
      <c r="E6" s="19">
        <f>SUM('Budget 2025'!B109:G109)</f>
        <v>3966.5</v>
      </c>
      <c r="F6" s="19">
        <f>SUM('Outlook 5+7'!B104:G104)</f>
        <v>4667.3702899999998</v>
      </c>
      <c r="G6" s="19">
        <f>SUM('Budget 2025'!B115:G115)</f>
        <v>4050</v>
      </c>
      <c r="H6" s="19">
        <f>SUM('Outlook 5+7'!B110:G110)</f>
        <v>4378.61841</v>
      </c>
      <c r="I6" s="20">
        <f t="shared" si="0"/>
        <v>11.368712971133242</v>
      </c>
      <c r="J6" s="20">
        <f t="shared" si="0"/>
        <v>9.2716466229530727</v>
      </c>
      <c r="K6" s="21">
        <f t="shared" si="1"/>
        <v>0.95964447570297606</v>
      </c>
      <c r="L6" s="21">
        <f t="shared" si="2"/>
        <v>1.1766974133366948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5+7'!B125:G125)</f>
        <v>160</v>
      </c>
      <c r="E7" s="19">
        <f>SUM('Budget 2025'!B132:G132)</f>
        <v>57</v>
      </c>
      <c r="F7" s="19">
        <f>SUM('Outlook 5+7'!B127:G127)</f>
        <v>0</v>
      </c>
      <c r="G7" s="19">
        <f>SUM('Budget 2025'!B137:G137)</f>
        <v>53</v>
      </c>
      <c r="H7" s="19">
        <f>SUM('Outlook 5+7'!B132:G132)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9.9811107462741772E-2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5+7'!B140:G140)</f>
        <v>3504.6300694999995</v>
      </c>
      <c r="E8" s="19">
        <f>SUM('Budget 2025'!B147:G147)</f>
        <v>1062</v>
      </c>
      <c r="F8" s="19">
        <f>SUM('Outlook 5+7'!B142:G142)</f>
        <v>1202.5744970000001</v>
      </c>
      <c r="G8" s="19">
        <f>SUM('Budget 2025'!B152:G152)</f>
        <v>1100</v>
      </c>
      <c r="H8" s="19">
        <f>SUM('Outlook 5+7'!B148:G148)</f>
        <v>1187.435776</v>
      </c>
      <c r="I8" s="20">
        <f t="shared" si="0"/>
        <v>3.6016949152542375</v>
      </c>
      <c r="J8" s="20">
        <f t="shared" si="0"/>
        <v>2.9142727359035283</v>
      </c>
      <c r="K8" s="21">
        <f t="shared" si="1"/>
        <v>0.91624315542483648</v>
      </c>
      <c r="L8" s="21">
        <f t="shared" si="2"/>
        <v>1.1323676996233523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5+7'!B156:G156)</f>
        <v>4594.1726690066662</v>
      </c>
      <c r="E9" s="19">
        <f>SUM('Budget 2025'!B162:G162)</f>
        <v>270.88602230931434</v>
      </c>
      <c r="F9" s="19">
        <f>SUM('Outlook 5+7'!B158:G158)</f>
        <v>267.94092215709088</v>
      </c>
      <c r="G9" s="19">
        <f>SUM('Budget 2025'!B166:G166)</f>
        <v>245</v>
      </c>
      <c r="H9" s="19">
        <f>SUM('Outlook 5+7'!B163:G163)</f>
        <v>157.69274000000001</v>
      </c>
      <c r="I9" s="20">
        <f t="shared" si="0"/>
        <v>18.17897058707586</v>
      </c>
      <c r="J9" s="20">
        <f t="shared" si="0"/>
        <v>17.146215038825432</v>
      </c>
      <c r="K9" s="21">
        <f t="shared" si="1"/>
        <v>0.93293509544811803</v>
      </c>
      <c r="L9" s="21">
        <f t="shared" si="2"/>
        <v>0.98912789915435151</v>
      </c>
    </row>
    <row r="10" spans="2:12" ht="21.5" customHeight="1" x14ac:dyDescent="0.35">
      <c r="B10" s="23" t="s">
        <v>81</v>
      </c>
      <c r="C10" s="24">
        <f>SUM(C4:C9)</f>
        <v>126356.50017326775</v>
      </c>
      <c r="D10" s="24">
        <f t="shared" ref="D10:F10" si="3">SUM(D4:D9)</f>
        <v>115392.53688048515</v>
      </c>
      <c r="E10" s="24">
        <f t="shared" si="3"/>
        <v>10063.386022378543</v>
      </c>
      <c r="F10" s="24">
        <f t="shared" si="3"/>
        <v>10766.152098251572</v>
      </c>
      <c r="G10" s="24">
        <f t="shared" ref="G10" si="4">SUM(G4:G9)</f>
        <v>10285.500000069231</v>
      </c>
      <c r="H10" s="24">
        <f t="shared" ref="H10" si="5">SUM(H4:H9)</f>
        <v>10541.695029533737</v>
      </c>
      <c r="I10" s="25">
        <f t="shared" ref="I10" si="6">C10/E10</f>
        <v>12.556062133786915</v>
      </c>
      <c r="J10" s="25">
        <f t="shared" ref="J10" si="7">D10/F10</f>
        <v>10.718085331455139</v>
      </c>
      <c r="K10" s="26">
        <f t="shared" ref="K10" si="8">D10/C10</f>
        <v>0.91322992265733738</v>
      </c>
      <c r="L10" s="26">
        <f t="shared" ref="L10" si="9">F10/E10</f>
        <v>1.0698339579054452</v>
      </c>
    </row>
    <row r="11" spans="2:12" x14ac:dyDescent="0.35">
      <c r="F11" s="17">
        <f>F10/E10</f>
        <v>1.0698339579054452</v>
      </c>
      <c r="H11" s="17">
        <f>H10/G10</f>
        <v>1.0249083690110137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2025</vt:lpstr>
      <vt:lpstr>Outlook 5+7</vt:lpstr>
      <vt:lpstr>Outlook Quarterly 5+7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2025-06-11T02:46:45Z</dcterms:modified>
</cp:coreProperties>
</file>